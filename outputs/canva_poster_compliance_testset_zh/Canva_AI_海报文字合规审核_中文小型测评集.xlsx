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04fd2abe5745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bf67c8a63740400f"/>
    <x:sheet xmlns:r="http://schemas.openxmlformats.org/officeDocument/2006/relationships" name="测试用例" sheetId="2" r:id="R6cdef2919be941b7"/>
    <x:sheet xmlns:r="http://schemas.openxmlformats.org/officeDocument/2006/relationships" name="评测结果" sheetId="3" r:id="Rf7c8723ab324493f"/>
    <x:sheet xmlns:r="http://schemas.openxmlformats.org/officeDocument/2006/relationships" name="海报索引" sheetId="4" r:id="Rc4239ed9d5c142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2">
    <x:font>
      <x:sz val="11"/>
      <x:name val="Carlito"/>
    </x:font>
    <x:font>
      <x:b/>
      <x:sz val="18"/>
      <x:color rgb="FFFFFFFF"/>
      <x:name val="Carlito"/>
    </x:font>
    <x:font>
      <x:sz val="10"/>
      <x:color rgb="FF5E6472"/>
      <x:name val="Carlito"/>
    </x:font>
    <x:font>
      <x:b/>
      <x:sz val="11"/>
      <x:color rgb="FF0E1B3D"/>
      <x:name val="Carlito"/>
    </x:font>
    <x:font>
      <x:b/>
      <x:sz val="11"/>
      <x:color rgb="FF18864B"/>
      <x:name val="Carlito"/>
    </x:font>
    <x:font>
      <x:b/>
      <x:sz val="11"/>
      <x:color rgb="FFC53A2A"/>
      <x:name val="Carlito"/>
    </x:font>
    <x:font>
      <x:b/>
      <x:sz val="11"/>
      <x:color rgb="FFA66A00"/>
      <x:name val="Carlito"/>
    </x:font>
    <x:font>
      <x:b/>
      <x:sz val="11"/>
      <x:color rgb="FF5E6472"/>
      <x:name val="Carlito"/>
    </x:font>
    <x:font>
      <x:b/>
      <x:sz val="22"/>
      <x:color rgb="FF18864B"/>
      <x:name val="Carlito"/>
    </x:font>
    <x:font>
      <x:b/>
      <x:sz val="22"/>
      <x:color rgb="FFC53A2A"/>
      <x:name val="Carlito"/>
    </x:font>
    <x:font>
      <x:b/>
      <x:sz val="22"/>
      <x:color rgb="FFA66A00"/>
      <x:name val="Carlito"/>
    </x:font>
    <x:font>
      <x:b/>
      <x:sz val="22"/>
      <x:color rgb="FF5E6472"/>
      <x:name val="Carlito"/>
    </x:font>
    <x:font>
      <x:b/>
      <x:sz val="11"/>
      <x:color rgb="FFFFFFFF"/>
      <x:name val="Carlito"/>
    </x:font>
    <x:font>
      <x:b/>
      <x:sz val="11"/>
      <x:color rgb="FF7D2AE8"/>
      <x:name val="Carlito"/>
    </x:font>
    <x:font>
      <x:b/>
      <x:sz val="18"/>
      <x:color rgb="FFFFFFFF"/>
      <x:name val="Aptos"/>
    </x:font>
    <x:font>
      <x:sz val="10"/>
      <x:color rgb="FF5E6472"/>
      <x:name val="Aptos"/>
    </x:font>
    <x:font>
      <x:sz val="11"/>
      <x:name val="Aptos"/>
    </x:font>
    <x:font>
      <x:b/>
      <x:sz val="11"/>
      <x:color rgb="FF0E1B3D"/>
      <x:name val="Aptos"/>
    </x:font>
    <x:font>
      <x:b/>
      <x:sz val="11"/>
      <x:color rgb="FF18864B"/>
      <x:name val="Aptos"/>
    </x:font>
    <x:font>
      <x:b/>
      <x:sz val="11"/>
      <x:color rgb="FFC53A2A"/>
      <x:name val="Aptos"/>
    </x:font>
    <x:font>
      <x:b/>
      <x:sz val="11"/>
      <x:color rgb="FFA66A00"/>
      <x:name val="Aptos"/>
    </x:font>
    <x:font>
      <x:b/>
      <x:sz val="11"/>
      <x:color rgb="FF5E6472"/>
      <x:name val="Aptos"/>
    </x:font>
    <x:font>
      <x:b/>
      <x:sz val="22"/>
      <x:color rgb="FF18864B"/>
      <x:name val="Aptos"/>
    </x:font>
    <x:font>
      <x:b/>
      <x:sz val="22"/>
      <x:color rgb="FFC53A2A"/>
      <x:name val="Aptos"/>
    </x:font>
    <x:font>
      <x:b/>
      <x:sz val="22"/>
      <x:color rgb="FFA66A00"/>
      <x:name val="Aptos"/>
    </x:font>
    <x:font>
      <x:b/>
      <x:sz val="22"/>
      <x:color rgb="FF5E6472"/>
      <x:name val="Aptos"/>
    </x:font>
    <x:font>
      <x:b/>
      <x:sz val="11"/>
      <x:color rgb="FFFFFFFF"/>
      <x:name val="Aptos"/>
    </x:font>
    <x:font>
      <x:b/>
      <x:sz val="11"/>
      <x:color rgb="FF7D2AE8"/>
      <x:name val="Aptos"/>
    </x:font>
    <x:font>
      <x:sz val="9"/>
      <x:name val="Carlito"/>
    </x:font>
    <x:font>
      <x:sz val="10"/>
      <x:name val="Carlito"/>
    </x:font>
    <x:font>
      <x:sz val="9"/>
      <x:name val="Aptos"/>
    </x:font>
    <x:font>
      <x:sz val="10"/>
      <x:name val="Aptos"/>
    </x:font>
  </x:fonts>
  <x:fills count="12">
    <x:fill>
      <x:patternFill patternType="none"/>
    </x:fill>
    <x:fill>
      <x:patternFill patternType="gray125"/>
    </x:fill>
    <x:fill>
      <x:patternFill patternType="solid">
        <x:fgColor rgb="FF0E1B3D"/>
      </x:patternFill>
    </x:fill>
    <x:fill>
      <x:patternFill patternType="solid">
        <x:fgColor rgb="FFF7F8FB"/>
      </x:patternFill>
    </x:fill>
    <x:fill>
      <x:patternFill patternType="solid">
        <x:fgColor rgb="FFEAF3FF"/>
      </x:patternFill>
    </x:fill>
    <x:fill>
      <x:patternFill patternType="solid">
        <x:fgColor rgb="FFE7F6EC"/>
      </x:patternFill>
    </x:fill>
    <x:fill>
      <x:patternFill patternType="solid">
        <x:fgColor rgb="FFFCE9E6"/>
      </x:patternFill>
    </x:fill>
    <x:fill>
      <x:patternFill patternType="solid">
        <x:fgColor rgb="FFFFF4D8"/>
      </x:patternFill>
    </x:fill>
    <x:fill>
      <x:patternFill patternType="solid">
        <x:fgColor rgb="FFEEF0F3"/>
      </x:patternFill>
    </x:fill>
    <x:fill>
      <x:patternFill patternType="solid">
        <x:fgColor rgb="FF7D2AE8"/>
      </x:patternFill>
    </x:fill>
    <x:fill>
      <x:patternFill patternType="solid">
        <x:fgColor rgb="FFF3ECFF"/>
      </x:patternFill>
    </x:fill>
    <x:fill>
      <x:patternFill patternType="solid">
        <x:fgColor rgb="FF0A5ACD"/>
      </x:patternFill>
    </x:fill>
  </x:fills>
  <x:borders count="38">
    <x:border/>
    <x:border>
      <x:left style="thin">
        <x:color rgb="FFD8DEE9"/>
      </x:left>
      <x:top style="thin">
        <x:color rgb="FFD8DEE9"/>
      </x:top>
      <x:bottom style="thin">
        <x:color rgb="FFD8DEE9"/>
      </x:bottom>
    </x:border>
    <x:border>
      <x:top style="thin">
        <x:color rgb="FFD8DEE9"/>
      </x:top>
      <x:bottom style="thin">
        <x:color rgb="FFD8DEE9"/>
      </x:bottom>
    </x:border>
    <x:border>
      <x:right style="thin">
        <x:color rgb="FFD8DEE9"/>
      </x:right>
      <x:top style="thin">
        <x:color rgb="FFD8DEE9"/>
      </x:top>
      <x:bottom style="thin">
        <x:color rgb="FFD8DEE9"/>
      </x:bottom>
    </x:border>
    <x:border>
      <x:left style="thin">
        <x:color rgb="FF18864B"/>
      </x:left>
      <x:top style="thin">
        <x:color rgb="FF18864B"/>
      </x:top>
    </x:border>
    <x:border>
      <x:right style="thin">
        <x:color rgb="FF18864B"/>
      </x:right>
      <x:top style="thin">
        <x:color rgb="FF18864B"/>
      </x:top>
    </x:border>
    <x:border>
      <x:left style="thin">
        <x:color rgb="FF18864B"/>
      </x:left>
    </x:border>
    <x:border>
      <x:right style="thin">
        <x:color rgb="FF18864B"/>
      </x:right>
    </x:border>
    <x:border>
      <x:left style="thin">
        <x:color rgb="FF18864B"/>
      </x:left>
      <x:bottom style="thin">
        <x:color rgb="FF18864B"/>
      </x:bottom>
    </x:border>
    <x:border>
      <x:right style="thin">
        <x:color rgb="FF18864B"/>
      </x:right>
      <x:bottom style="thin">
        <x:color rgb="FF18864B"/>
      </x:bottom>
    </x:border>
    <x:border>
      <x:left style="thin">
        <x:color rgb="FFC53A2A"/>
      </x:left>
      <x:top style="thin">
        <x:color rgb="FFC53A2A"/>
      </x:top>
    </x:border>
    <x:border>
      <x:right style="thin">
        <x:color rgb="FFC53A2A"/>
      </x:right>
      <x:top style="thin">
        <x:color rgb="FFC53A2A"/>
      </x:top>
    </x:border>
    <x:border>
      <x:left style="thin">
        <x:color rgb="FFC53A2A"/>
      </x:left>
    </x:border>
    <x:border>
      <x:right style="thin">
        <x:color rgb="FFC53A2A"/>
      </x:right>
    </x:border>
    <x:border>
      <x:left style="thin">
        <x:color rgb="FFC53A2A"/>
      </x:left>
      <x:bottom style="thin">
        <x:color rgb="FFC53A2A"/>
      </x:bottom>
    </x:border>
    <x:border>
      <x:right style="thin">
        <x:color rgb="FFC53A2A"/>
      </x:right>
      <x:bottom style="thin">
        <x:color rgb="FFC53A2A"/>
      </x:bottom>
    </x:border>
    <x:border>
      <x:left style="thin">
        <x:color rgb="FFA66A00"/>
      </x:left>
      <x:top style="thin">
        <x:color rgb="FFA66A00"/>
      </x:top>
    </x:border>
    <x:border>
      <x:right style="thin">
        <x:color rgb="FFA66A00"/>
      </x:right>
      <x:top style="thin">
        <x:color rgb="FFA66A00"/>
      </x:top>
    </x:border>
    <x:border>
      <x:left style="thin">
        <x:color rgb="FFA66A00"/>
      </x:left>
    </x:border>
    <x:border>
      <x:right style="thin">
        <x:color rgb="FFA66A00"/>
      </x:right>
    </x:border>
    <x:border>
      <x:left style="thin">
        <x:color rgb="FFA66A00"/>
      </x:left>
      <x:bottom style="thin">
        <x:color rgb="FFA66A00"/>
      </x:bottom>
    </x:border>
    <x:border>
      <x:right style="thin">
        <x:color rgb="FFA66A00"/>
      </x:right>
      <x:bottom style="thin">
        <x:color rgb="FFA66A00"/>
      </x:bottom>
    </x:border>
    <x:border>
      <x:left style="thin">
        <x:color rgb="FF5E6472"/>
      </x:left>
      <x:top style="thin">
        <x:color rgb="FF5E6472"/>
      </x:top>
    </x:border>
    <x:border>
      <x:right style="thin">
        <x:color rgb="FF5E6472"/>
      </x:right>
      <x:top style="thin">
        <x:color rgb="FF5E6472"/>
      </x:top>
    </x:border>
    <x:border>
      <x:left style="thin">
        <x:color rgb="FF5E6472"/>
      </x:left>
    </x:border>
    <x:border>
      <x:right style="thin">
        <x:color rgb="FF5E6472"/>
      </x:right>
    </x:border>
    <x:border>
      <x:left style="thin">
        <x:color rgb="FF5E6472"/>
      </x:left>
      <x:bottom style="thin">
        <x:color rgb="FF5E6472"/>
      </x:bottom>
    </x:border>
    <x:border>
      <x:right style="thin">
        <x:color rgb="FF5E6472"/>
      </x:right>
      <x:bottom style="thin">
        <x:color rgb="FF5E6472"/>
      </x:bottom>
    </x:border>
    <x:border>
      <x:right style="thin">
        <x:color rgb="FFD8DEE9"/>
      </x:right>
      <x:bottom style="thin">
        <x:color rgb="FFD8DEE9"/>
      </x:bottom>
    </x:border>
    <x:border>
      <x:left style="thin">
        <x:color rgb="FFD8DEE9"/>
      </x:left>
      <x:right style="thin">
        <x:color rgb="FFD8DEE9"/>
      </x:right>
      <x:bottom style="thin">
        <x:color rgb="FFD8DEE9"/>
      </x:bottom>
    </x:border>
    <x:border>
      <x:left style="thin">
        <x:color rgb="FFD8DEE9"/>
      </x:left>
      <x:bottom style="thin">
        <x:color rgb="FFD8DEE9"/>
      </x:bottom>
    </x:border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</x:border>
    <x:border>
      <x:right style="thin">
        <x:color rgb="FFD8DEE9"/>
      </x:right>
      <x:top style="thin">
        <x:color rgb="FFD8DEE9"/>
      </x:top>
    </x:border>
    <x:border>
      <x:left style="thin">
        <x:color rgb="FFD8DEE9"/>
      </x:left>
      <x:right style="thin">
        <x:color rgb="FFD8DEE9"/>
      </x:right>
      <x:top style="thin">
        <x:color rgb="FFD8DEE9"/>
      </x:top>
    </x:border>
    <x:border>
      <x:left style="thin">
        <x:color rgb="FFD8DEE9"/>
      </x:left>
      <x:top style="thin">
        <x:color rgb="FFD8DEE9"/>
      </x:top>
    </x:border>
    <x:border>
      <x:bottom style="thin">
        <x:color rgb="FFE4E8EF"/>
      </x:bottom>
    </x:border>
    <x:border>
      <x:top style="thin">
        <x:color rgb="FFE4E8EF"/>
      </x:top>
      <x:bottom style="thin">
        <x:color rgb="FFE4E8EF"/>
      </x:bottom>
    </x:border>
    <x:border>
      <x:top style="thin">
        <x:color rgb="FFE4E8EF"/>
      </x:top>
      <x:bottom style="thin">
        <x:color rgb="FFD8DEE9"/>
      </x:bottom>
    </x:border>
  </x:borders>
  <x:cellStyleXfs count="1">
    <x:xf numFmtId="0" fontId="0" fillId="0" borderId="0"/>
  </x:cellStyleXfs>
  <x:cellXfs count="2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4" fillId="5" borderId="7" xfId="0" applyNumberFormat="1" applyFont="1" applyFill="1" applyBorder="1" applyAlignment="1">
      <x:alignment horizontal="center"/>
    </x:xf>
    <x:xf numFmtId="0" fontId="4" fillId="5" borderId="8" xfId="0" applyNumberFormat="1" applyFont="1" applyFill="1" applyBorder="1" applyAlignment="1">
      <x:alignment horizontal="center"/>
    </x:xf>
    <x:xf numFmtId="0" fontId="4" fillId="5" borderId="9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4" fillId="5" borderId="7" xfId="0" applyNumberFormat="1" applyFont="1" applyFill="1" applyBorder="1" applyAlignment="1">
      <x:alignment horizontal="center" vertical="center"/>
    </x:xf>
    <x:xf numFmtId="0" fontId="4" fillId="5" borderId="8" xfId="0" applyNumberFormat="1" applyFont="1" applyFill="1" applyBorder="1" applyAlignment="1">
      <x:alignment horizontal="center" vertical="center"/>
    </x:xf>
    <x:xf numFmtId="0" fontId="4" fillId="5" borderId="9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0" fontId="5" fillId="6" borderId="12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0" xfId="0" applyNumberFormat="1" applyFont="1" applyFill="1" applyBorder="1" applyAlignment="1">
      <x:alignment horizontal="center"/>
    </x:xf>
    <x:xf numFmtId="0" fontId="5" fillId="6" borderId="11" xfId="0" applyNumberFormat="1" applyFont="1" applyFill="1" applyBorder="1" applyAlignment="1">
      <x:alignment horizontal="center"/>
    </x:xf>
    <x:xf numFmtId="0" fontId="5" fillId="6" borderId="12" xfId="0" applyNumberFormat="1" applyFont="1" applyFill="1" applyBorder="1" applyAlignment="1">
      <x:alignment horizontal="center"/>
    </x:xf>
    <x:xf numFmtId="0" fontId="5" fillId="6" borderId="13" xfId="0" applyNumberFormat="1" applyFont="1" applyFill="1" applyBorder="1" applyAlignment="1">
      <x:alignment horizontal="center"/>
    </x:xf>
    <x:xf numFmtId="0" fontId="5" fillId="6" borderId="14" xfId="0" applyNumberFormat="1" applyFont="1" applyFill="1" applyBorder="1" applyAlignment="1">
      <x:alignment horizontal="center"/>
    </x:xf>
    <x:xf numFmtId="0" fontId="5" fillId="6" borderId="15" xfId="0" applyNumberFormat="1" applyFont="1" applyFill="1" applyBorder="1" applyAlignment="1">
      <x:alignment horizontal="center"/>
    </x:xf>
    <x:xf numFmtId="0" fontId="5" fillId="6" borderId="10" xfId="0" applyNumberFormat="1" applyFont="1" applyFill="1" applyBorder="1" applyAlignment="1">
      <x:alignment horizontal="center" vertical="center"/>
    </x:xf>
    <x:xf numFmtId="0" fontId="5" fillId="6" borderId="11" xfId="0" applyNumberFormat="1" applyFont="1" applyFill="1" applyBorder="1" applyAlignment="1">
      <x:alignment horizontal="center" vertical="center"/>
    </x:xf>
    <x:xf numFmtId="0" fontId="5" fillId="6" borderId="12" xfId="0" applyNumberFormat="1" applyFont="1" applyFill="1" applyBorder="1" applyAlignment="1">
      <x:alignment horizontal="center" vertical="center"/>
    </x:xf>
    <x:xf numFmtId="0" fontId="5" fillId="6" borderId="13" xfId="0" applyNumberFormat="1" applyFont="1" applyFill="1" applyBorder="1" applyAlignment="1">
      <x:alignment horizontal="center" vertical="center"/>
    </x:xf>
    <x:xf numFmtId="0" fontId="5" fillId="6" borderId="14" xfId="0" applyNumberFormat="1" applyFont="1" applyFill="1" applyBorder="1" applyAlignment="1">
      <x:alignment horizontal="center" vertical="center"/>
    </x:xf>
    <x:xf numFmtId="0" fontId="5" fillId="6" borderId="15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6" xfId="0" applyNumberFormat="1" applyFont="1" applyFill="1" applyBorder="1"/>
    <x:xf numFmtId="0" fontId="6" fillId="7" borderId="17" xfId="0" applyNumberFormat="1" applyFont="1" applyFill="1" applyBorder="1"/>
    <x:xf numFmtId="0" fontId="6" fillId="7" borderId="18" xfId="0" applyNumberFormat="1" applyFont="1" applyFill="1" applyBorder="1"/>
    <x:xf numFmtId="0" fontId="6" fillId="7" borderId="19" xfId="0" applyNumberFormat="1" applyFont="1" applyFill="1" applyBorder="1"/>
    <x:xf numFmtId="0" fontId="6" fillId="7" borderId="20" xfId="0" applyNumberFormat="1" applyFont="1" applyFill="1" applyBorder="1"/>
    <x:xf numFmtId="0" fontId="6" fillId="7" borderId="21" xfId="0" applyNumberFormat="1" applyFont="1" applyFill="1" applyBorder="1"/>
    <x:xf numFmtId="0" fontId="6" fillId="7" borderId="16" xfId="0" applyNumberFormat="1" applyFont="1" applyFill="1" applyBorder="1" applyAlignment="1">
      <x:alignment horizontal="center"/>
    </x:xf>
    <x:xf numFmtId="0" fontId="6" fillId="7" borderId="17" xfId="0" applyNumberFormat="1" applyFont="1" applyFill="1" applyBorder="1" applyAlignment="1">
      <x:alignment horizontal="center"/>
    </x:xf>
    <x:xf numFmtId="0" fontId="6" fillId="7" borderId="18" xfId="0" applyNumberFormat="1" applyFont="1" applyFill="1" applyBorder="1" applyAlignment="1">
      <x:alignment horizontal="center"/>
    </x:xf>
    <x:xf numFmtId="0" fontId="6" fillId="7" borderId="19" xfId="0" applyNumberFormat="1" applyFont="1" applyFill="1" applyBorder="1" applyAlignment="1">
      <x:alignment horizontal="center"/>
    </x:xf>
    <x:xf numFmtId="0" fontId="6" fillId="7" borderId="20" xfId="0" applyNumberFormat="1" applyFont="1" applyFill="1" applyBorder="1" applyAlignment="1">
      <x:alignment horizontal="center"/>
    </x:xf>
    <x:xf numFmtId="0" fontId="6" fillId="7" borderId="21" xfId="0" applyNumberFormat="1" applyFont="1" applyFill="1" applyBorder="1" applyAlignment="1">
      <x:alignment horizontal="center"/>
    </x:xf>
    <x:xf numFmtId="0" fontId="6" fillId="7" borderId="16" xfId="0" applyNumberFormat="1" applyFont="1" applyFill="1" applyBorder="1" applyAlignment="1">
      <x:alignment horizontal="center" vertical="center"/>
    </x:xf>
    <x:xf numFmtId="0" fontId="6" fillId="7" borderId="17" xfId="0" applyNumberFormat="1" applyFont="1" applyFill="1" applyBorder="1" applyAlignment="1">
      <x:alignment horizontal="center" vertical="center"/>
    </x:xf>
    <x:xf numFmtId="0" fontId="6" fillId="7" borderId="18" xfId="0" applyNumberFormat="1" applyFont="1" applyFill="1" applyBorder="1" applyAlignment="1">
      <x:alignment horizontal="center" vertical="center"/>
    </x:xf>
    <x:xf numFmtId="0" fontId="6" fillId="7" borderId="19" xfId="0" applyNumberFormat="1" applyFont="1" applyFill="1" applyBorder="1" applyAlignment="1">
      <x:alignment horizontal="center" vertical="center"/>
    </x:xf>
    <x:xf numFmtId="0" fontId="6" fillId="7" borderId="20" xfId="0" applyNumberFormat="1" applyFont="1" applyFill="1" applyBorder="1" applyAlignment="1">
      <x:alignment horizontal="center" vertical="center"/>
    </x:xf>
    <x:xf numFmtId="0" fontId="6" fillId="7" borderId="2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22" xfId="0" applyNumberFormat="1" applyFont="1" applyFill="1" applyBorder="1"/>
    <x:xf numFmtId="0" fontId="7" fillId="8" borderId="23" xfId="0" applyNumberFormat="1" applyFont="1" applyFill="1" applyBorder="1"/>
    <x:xf numFmtId="0" fontId="7" fillId="8" borderId="24" xfId="0" applyNumberFormat="1" applyFont="1" applyFill="1" applyBorder="1"/>
    <x:xf numFmtId="0" fontId="7" fillId="8" borderId="25" xfId="0" applyNumberFormat="1" applyFont="1" applyFill="1" applyBorder="1"/>
    <x:xf numFmtId="0" fontId="7" fillId="8" borderId="26" xfId="0" applyNumberFormat="1" applyFont="1" applyFill="1" applyBorder="1"/>
    <x:xf numFmtId="0" fontId="7" fillId="8" borderId="27" xfId="0" applyNumberFormat="1" applyFont="1" applyFill="1" applyBorder="1"/>
    <x:xf numFmtId="0" fontId="7" fillId="8" borderId="22" xfId="0" applyNumberFormat="1" applyFont="1" applyFill="1" applyBorder="1" applyAlignment="1">
      <x:alignment horizontal="center"/>
    </x:xf>
    <x:xf numFmtId="0" fontId="7" fillId="8" borderId="23" xfId="0" applyNumberFormat="1" applyFont="1" applyFill="1" applyBorder="1" applyAlignment="1">
      <x:alignment horizontal="center"/>
    </x:xf>
    <x:xf numFmtId="0" fontId="7" fillId="8" borderId="24" xfId="0" applyNumberFormat="1" applyFont="1" applyFill="1" applyBorder="1" applyAlignment="1">
      <x:alignment horizontal="center"/>
    </x:xf>
    <x:xf numFmtId="0" fontId="7" fillId="8" borderId="25" xfId="0" applyNumberFormat="1" applyFont="1" applyFill="1" applyBorder="1" applyAlignment="1">
      <x:alignment horizontal="center"/>
    </x:xf>
    <x:xf numFmtId="0" fontId="7" fillId="8" borderId="26" xfId="0" applyNumberFormat="1" applyFont="1" applyFill="1" applyBorder="1" applyAlignment="1">
      <x:alignment horizontal="center"/>
    </x:xf>
    <x:xf numFmtId="0" fontId="7" fillId="8" borderId="27" xfId="0" applyNumberFormat="1" applyFont="1" applyFill="1" applyBorder="1" applyAlignment="1">
      <x:alignment horizontal="center"/>
    </x:xf>
    <x:xf numFmtId="0" fontId="7" fillId="8" borderId="22" xfId="0" applyNumberFormat="1" applyFont="1" applyFill="1" applyBorder="1" applyAlignment="1">
      <x:alignment horizontal="center" vertical="center"/>
    </x:xf>
    <x:xf numFmtId="0" fontId="7" fillId="8" borderId="23" xfId="0" applyNumberFormat="1" applyFont="1" applyFill="1" applyBorder="1" applyAlignment="1">
      <x:alignment horizontal="center" vertical="center"/>
    </x:xf>
    <x:xf numFmtId="0" fontId="7" fillId="8" borderId="24" xfId="0" applyNumberFormat="1" applyFont="1" applyFill="1" applyBorder="1" applyAlignment="1">
      <x:alignment horizontal="center" vertical="center"/>
    </x:xf>
    <x:xf numFmtId="0" fontId="7" fillId="8" borderId="25" xfId="0" applyNumberFormat="1" applyFont="1" applyFill="1" applyBorder="1" applyAlignment="1">
      <x:alignment horizontal="center" vertical="center"/>
    </x:xf>
    <x:xf numFmtId="0" fontId="7" fillId="8" borderId="26" xfId="0" applyNumberFormat="1" applyFont="1" applyFill="1" applyBorder="1" applyAlignment="1">
      <x:alignment horizontal="center" vertical="center"/>
    </x:xf>
    <x:xf numFmtId="0" fontId="7" fillId="8" borderId="27" xfId="0" applyNumberFormat="1" applyFont="1" applyFill="1" applyBorder="1" applyAlignment="1">
      <x:alignment horizontal="center" vertical="center"/>
    </x:xf>
    <x:xf numFmtId="0" fontId="8" fillId="5" borderId="6" xfId="0" applyNumberFormat="1" applyFont="1" applyFill="1" applyBorder="1" applyAlignment="1">
      <x:alignment horizontal="center" vertical="center"/>
    </x:xf>
    <x:xf numFmtId="0" fontId="8" fillId="5" borderId="7" xfId="0" applyNumberFormat="1" applyFont="1" applyFill="1" applyBorder="1" applyAlignment="1">
      <x:alignment horizontal="center" vertical="center"/>
    </x:xf>
    <x:xf numFmtId="0" fontId="9" fillId="6" borderId="12" xfId="0" applyNumberFormat="1" applyFont="1" applyFill="1" applyBorder="1" applyAlignment="1">
      <x:alignment horizontal="center" vertical="center"/>
    </x:xf>
    <x:xf numFmtId="0" fontId="9" fillId="6" borderId="13" xfId="0" applyNumberFormat="1" applyFont="1" applyFill="1" applyBorder="1" applyAlignment="1">
      <x:alignment horizontal="center" vertical="center"/>
    </x:xf>
    <x:xf numFmtId="0" fontId="10" fillId="7" borderId="18" xfId="0" applyNumberFormat="1" applyFont="1" applyFill="1" applyBorder="1" applyAlignment="1">
      <x:alignment horizontal="center" vertical="center"/>
    </x:xf>
    <x:xf numFmtId="0" fontId="10" fillId="7" borderId="19" xfId="0" applyNumberFormat="1" applyFont="1" applyFill="1" applyBorder="1" applyAlignment="1">
      <x:alignment horizontal="center" vertical="center"/>
    </x:xf>
    <x:xf numFmtId="0" fontId="11" fillId="8" borderId="24" xfId="0" applyNumberFormat="1" applyFont="1" applyFill="1" applyBorder="1" applyAlignment="1">
      <x:alignment horizontal="center" vertical="center"/>
    </x:xf>
    <x:xf numFmtId="0" fontId="11" fillId="8" borderId="25" xfId="0" applyNumberFormat="1" applyFont="1" applyFill="1" applyBorder="1" applyAlignment="1">
      <x:alignment horizontal="center" vertical="center"/>
    </x:xf>
    <x:xf numFmtId="0" fontId="8" fillId="5" borderId="8" xfId="0" applyNumberFormat="1" applyFont="1" applyFill="1" applyBorder="1" applyAlignment="1">
      <x:alignment horizontal="center" vertical="center"/>
    </x:xf>
    <x:xf numFmtId="0" fontId="8" fillId="5" borderId="9" xfId="0" applyNumberFormat="1" applyFont="1" applyFill="1" applyBorder="1" applyAlignment="1">
      <x:alignment horizontal="center" vertical="center"/>
    </x:xf>
    <x:xf numFmtId="0" fontId="9" fillId="6" borderId="14" xfId="0" applyNumberFormat="1" applyFont="1" applyFill="1" applyBorder="1" applyAlignment="1">
      <x:alignment horizontal="center" vertical="center"/>
    </x:xf>
    <x:xf numFmtId="0" fontId="9" fillId="6" borderId="15" xfId="0" applyNumberFormat="1" applyFont="1" applyFill="1" applyBorder="1" applyAlignment="1">
      <x:alignment horizontal="center" vertical="center"/>
    </x:xf>
    <x:xf numFmtId="0" fontId="10" fillId="7" borderId="20" xfId="0" applyNumberFormat="1" applyFont="1" applyFill="1" applyBorder="1" applyAlignment="1">
      <x:alignment horizontal="center" vertical="center"/>
    </x:xf>
    <x:xf numFmtId="0" fontId="10" fillId="7" borderId="21" xfId="0" applyNumberFormat="1" applyFont="1" applyFill="1" applyBorder="1" applyAlignment="1">
      <x:alignment horizontal="center" vertical="center"/>
    </x:xf>
    <x:xf numFmtId="0" fontId="11" fillId="8" borderId="26" xfId="0" applyNumberFormat="1" applyFont="1" applyFill="1" applyBorder="1" applyAlignment="1">
      <x:alignment horizontal="center" vertical="center"/>
    </x:xf>
    <x:xf numFmtId="0" fontId="11" fillId="8" borderId="27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0" fillId="10" borderId="0" xfId="0" applyNumberFormat="1" applyFont="1" applyFill="1" applyBorder="1"/>
    <x:xf numFmtId="0" fontId="13" fillId="10" borderId="0" xfId="0" applyNumberFormat="1" applyFont="1" applyFill="1" applyBorder="1"/>
    <x:xf numFmtId="0" fontId="13" fillId="10" borderId="0" xfId="0" applyNumberFormat="1" applyFont="1" applyFill="1" applyBorder="1" applyAlignment="1">
      <x:alignment horizontal="center"/>
    </x:xf>
    <x:xf numFmtId="0" fontId="13" fillId="10" borderId="0" xfId="0" applyNumberFormat="1" applyFont="1" applyFill="1" applyBorder="1" applyAlignment="1">
      <x:alignment horizontal="center" vertical="center"/>
    </x:xf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0" fillId="0" borderId="3" xfId="0" applyNumberFormat="1" applyFont="1" applyFill="1" applyBorder="1"/>
    <x:xf numFmtId="0" fontId="0" fillId="0" borderId="31" xfId="0" applyNumberFormat="1" applyFont="1" applyFill="1" applyBorder="1"/>
    <x:xf numFmtId="0" fontId="0" fillId="0" borderId="1" xfId="0" applyNumberFormat="1" applyFont="1" applyFill="1" applyBorder="1"/>
    <x:xf numFmtId="0" fontId="0" fillId="0" borderId="32" xfId="0" applyNumberFormat="1" applyFont="1" applyFill="1" applyBorder="1"/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vertical="center" wrapText="1"/>
    </x:xf>
    <x:xf numFmtId="0" fontId="0" fillId="0" borderId="29" xfId="0" applyNumberFormat="1" applyFont="1" applyFill="1" applyBorder="1" applyAlignment="1">
      <x:alignment vertical="center" wrapText="1"/>
    </x:xf>
    <x:xf numFmtId="0" fontId="0" fillId="0" borderId="30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3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32" xfId="0" applyNumberFormat="1" applyFont="1" applyFill="1" applyBorder="1" applyAlignment="1">
      <x:alignment vertical="center" wrapText="1"/>
    </x:xf>
    <x:xf numFmtId="0" fontId="0" fillId="0" borderId="33" xfId="0" applyNumberFormat="1" applyFont="1" applyFill="1" applyBorder="1" applyAlignment="1">
      <x:alignment vertical="center" wrapText="1"/>
    </x:xf>
    <x:xf numFmtId="0" fontId="0" fillId="0" borderId="34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2" fillId="11" borderId="0" xfId="0" applyNumberFormat="1" applyFont="1" applyFill="1" applyBorder="1"/>
    <x:xf numFmtId="0" fontId="3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4" fillId="2" borderId="0" xfId="0" applyNumberFormat="1" applyFont="1" applyFill="1" applyBorder="1" applyAlignment="1">
      <x:alignment vertical="center"/>
    </x:xf>
    <x:xf numFmtId="0" fontId="15" fillId="3" borderId="0" xfId="0" applyNumberFormat="1" applyFont="1" applyFill="1" applyBorder="1" applyAlignment="1">
      <x:alignment vertical="center"/>
    </x:xf>
    <x:xf numFmtId="0" fontId="16" fillId="0" borderId="0" xfId="0" applyNumberFormat="1" applyFont="1" applyFill="1" applyBorder="1"/>
    <x:xf numFmtId="0" fontId="17" fillId="4" borderId="1" xfId="0" applyNumberFormat="1" applyFont="1" applyFill="1" applyBorder="1"/>
    <x:xf numFmtId="0" fontId="17" fillId="4" borderId="2" xfId="0" applyNumberFormat="1" applyFont="1" applyFill="1" applyBorder="1"/>
    <x:xf numFmtId="0" fontId="17" fillId="4" borderId="3" xfId="0" applyNumberFormat="1" applyFont="1" applyFill="1" applyBorder="1"/>
    <x:xf numFmtId="0" fontId="18" fillId="5" borderId="4" xfId="0" applyNumberFormat="1" applyFont="1" applyFill="1" applyBorder="1" applyAlignment="1">
      <x:alignment horizontal="center" vertical="center"/>
    </x:xf>
    <x:xf numFmtId="0" fontId="18" fillId="5" borderId="5" xfId="0" applyNumberFormat="1" applyFont="1" applyFill="1" applyBorder="1" applyAlignment="1">
      <x:alignment horizontal="center" vertical="center"/>
    </x:xf>
    <x:xf numFmtId="0" fontId="19" fillId="6" borderId="10" xfId="0" applyNumberFormat="1" applyFont="1" applyFill="1" applyBorder="1" applyAlignment="1">
      <x:alignment horizontal="center" vertical="center"/>
    </x:xf>
    <x:xf numFmtId="0" fontId="19" fillId="6" borderId="11" xfId="0" applyNumberFormat="1" applyFont="1" applyFill="1" applyBorder="1" applyAlignment="1">
      <x:alignment horizontal="center" vertical="center"/>
    </x:xf>
    <x:xf numFmtId="0" fontId="20" fillId="7" borderId="16" xfId="0" applyNumberFormat="1" applyFont="1" applyFill="1" applyBorder="1" applyAlignment="1">
      <x:alignment horizontal="center" vertical="center"/>
    </x:xf>
    <x:xf numFmtId="0" fontId="20" fillId="7" borderId="17" xfId="0" applyNumberFormat="1" applyFont="1" applyFill="1" applyBorder="1" applyAlignment="1">
      <x:alignment horizontal="center" vertical="center"/>
    </x:xf>
    <x:xf numFmtId="0" fontId="21" fillId="8" borderId="22" xfId="0" applyNumberFormat="1" applyFont="1" applyFill="1" applyBorder="1" applyAlignment="1">
      <x:alignment horizontal="center" vertical="center"/>
    </x:xf>
    <x:xf numFmtId="0" fontId="21" fillId="8" borderId="23" xfId="0" applyNumberFormat="1" applyFont="1" applyFill="1" applyBorder="1" applyAlignment="1">
      <x:alignment horizontal="center" vertical="center"/>
    </x:xf>
    <x:xf numFmtId="0" fontId="22" fillId="5" borderId="6" xfId="0" applyNumberFormat="1" applyFont="1" applyFill="1" applyBorder="1" applyAlignment="1">
      <x:alignment horizontal="center" vertical="center"/>
    </x:xf>
    <x:xf numFmtId="0" fontId="22" fillId="5" borderId="7" xfId="0" applyNumberFormat="1" applyFont="1" applyFill="1" applyBorder="1" applyAlignment="1">
      <x:alignment horizontal="center" vertical="center"/>
    </x:xf>
    <x:xf numFmtId="0" fontId="23" fillId="6" borderId="12" xfId="0" applyNumberFormat="1" applyFont="1" applyFill="1" applyBorder="1" applyAlignment="1">
      <x:alignment horizontal="center" vertical="center"/>
    </x:xf>
    <x:xf numFmtId="0" fontId="23" fillId="6" borderId="13" xfId="0" applyNumberFormat="1" applyFont="1" applyFill="1" applyBorder="1" applyAlignment="1">
      <x:alignment horizontal="center" vertical="center"/>
    </x:xf>
    <x:xf numFmtId="0" fontId="24" fillId="7" borderId="18" xfId="0" applyNumberFormat="1" applyFont="1" applyFill="1" applyBorder="1" applyAlignment="1">
      <x:alignment horizontal="center" vertical="center"/>
    </x:xf>
    <x:xf numFmtId="0" fontId="24" fillId="7" borderId="19" xfId="0" applyNumberFormat="1" applyFont="1" applyFill="1" applyBorder="1" applyAlignment="1">
      <x:alignment horizontal="center" vertical="center"/>
    </x:xf>
    <x:xf numFmtId="0" fontId="25" fillId="8" borderId="24" xfId="0" applyNumberFormat="1" applyFont="1" applyFill="1" applyBorder="1" applyAlignment="1">
      <x:alignment horizontal="center" vertical="center"/>
    </x:xf>
    <x:xf numFmtId="0" fontId="25" fillId="8" borderId="25" xfId="0" applyNumberFormat="1" applyFont="1" applyFill="1" applyBorder="1" applyAlignment="1">
      <x:alignment horizontal="center" vertical="center"/>
    </x:xf>
    <x:xf numFmtId="0" fontId="22" fillId="5" borderId="8" xfId="0" applyNumberFormat="1" applyFont="1" applyFill="1" applyBorder="1" applyAlignment="1">
      <x:alignment horizontal="center" vertical="center"/>
    </x:xf>
    <x:xf numFmtId="0" fontId="22" fillId="5" borderId="9" xfId="0" applyNumberFormat="1" applyFont="1" applyFill="1" applyBorder="1" applyAlignment="1">
      <x:alignment horizontal="center" vertical="center"/>
    </x:xf>
    <x:xf numFmtId="0" fontId="23" fillId="6" borderId="14" xfId="0" applyNumberFormat="1" applyFont="1" applyFill="1" applyBorder="1" applyAlignment="1">
      <x:alignment horizontal="center" vertical="center"/>
    </x:xf>
    <x:xf numFmtId="0" fontId="23" fillId="6" borderId="15" xfId="0" applyNumberFormat="1" applyFont="1" applyFill="1" applyBorder="1" applyAlignment="1">
      <x:alignment horizontal="center" vertical="center"/>
    </x:xf>
    <x:xf numFmtId="0" fontId="24" fillId="7" borderId="20" xfId="0" applyNumberFormat="1" applyFont="1" applyFill="1" applyBorder="1" applyAlignment="1">
      <x:alignment horizontal="center" vertical="center"/>
    </x:xf>
    <x:xf numFmtId="0" fontId="24" fillId="7" borderId="21" xfId="0" applyNumberFormat="1" applyFont="1" applyFill="1" applyBorder="1" applyAlignment="1">
      <x:alignment horizontal="center" vertical="center"/>
    </x:xf>
    <x:xf numFmtId="0" fontId="25" fillId="8" borderId="26" xfId="0" applyNumberFormat="1" applyFont="1" applyFill="1" applyBorder="1" applyAlignment="1">
      <x:alignment horizontal="center" vertical="center"/>
    </x:xf>
    <x:xf numFmtId="0" fontId="25" fillId="8" borderId="27" xfId="0" applyNumberFormat="1" applyFont="1" applyFill="1" applyBorder="1" applyAlignment="1">
      <x:alignment horizontal="center" vertical="center"/>
    </x:xf>
    <x:xf numFmtId="0" fontId="26" fillId="9" borderId="0" xfId="0" applyNumberFormat="1" applyFont="1" applyFill="1" applyBorder="1"/>
    <x:xf numFmtId="0" fontId="27" fillId="10" borderId="0" xfId="0" applyNumberFormat="1" applyFont="1" applyFill="1" applyBorder="1" applyAlignment="1">
      <x:alignment horizontal="center" vertical="center"/>
    </x:xf>
    <x:xf numFmtId="0" fontId="16" fillId="0" borderId="28" xfId="0" applyNumberFormat="1" applyFont="1" applyFill="1" applyBorder="1" applyAlignment="1">
      <x:alignment vertical="center" wrapText="1"/>
    </x:xf>
    <x:xf numFmtId="0" fontId="16" fillId="0" borderId="29" xfId="0" applyNumberFormat="1" applyFont="1" applyFill="1" applyBorder="1" applyAlignment="1">
      <x:alignment vertical="center" wrapText="1"/>
    </x:xf>
    <x:xf numFmtId="0" fontId="16" fillId="0" borderId="30" xfId="0" applyNumberFormat="1" applyFont="1" applyFill="1" applyBorder="1" applyAlignment="1">
      <x:alignment vertical="center" wrapText="1"/>
    </x:xf>
    <x:xf numFmtId="0" fontId="16" fillId="0" borderId="3" xfId="0" applyNumberFormat="1" applyFont="1" applyFill="1" applyBorder="1" applyAlignment="1">
      <x:alignment vertical="center" wrapText="1"/>
    </x:xf>
    <x:xf numFmtId="0" fontId="16" fillId="0" borderId="31" xfId="0" applyNumberFormat="1" applyFont="1" applyFill="1" applyBorder="1" applyAlignment="1">
      <x:alignment vertical="center" wrapText="1"/>
    </x:xf>
    <x:xf numFmtId="0" fontId="16" fillId="0" borderId="1" xfId="0" applyNumberFormat="1" applyFont="1" applyFill="1" applyBorder="1" applyAlignment="1">
      <x:alignment vertical="center" wrapText="1"/>
    </x:xf>
    <x:xf numFmtId="0" fontId="16" fillId="0" borderId="32" xfId="0" applyNumberFormat="1" applyFont="1" applyFill="1" applyBorder="1" applyAlignment="1">
      <x:alignment vertical="center" wrapText="1"/>
    </x:xf>
    <x:xf numFmtId="0" fontId="16" fillId="0" borderId="33" xfId="0" applyNumberFormat="1" applyFont="1" applyFill="1" applyBorder="1" applyAlignment="1">
      <x:alignment vertical="center" wrapText="1"/>
    </x:xf>
    <x:xf numFmtId="0" fontId="16" fillId="0" borderId="34" xfId="0" applyNumberFormat="1" applyFont="1" applyFill="1" applyBorder="1" applyAlignment="1">
      <x:alignment vertical="center" wrapText="1"/>
    </x:xf>
    <x:xf numFmtId="0" fontId="26" fillId="11" borderId="0" xfId="0" applyNumberFormat="1" applyFont="1" applyFill="1" applyBorder="1"/>
    <x:xf numFmtId="0" fontId="17" fillId="3" borderId="0" xfId="0" applyNumberFormat="1" applyFont="1" applyFill="1" applyBorder="1"/>
    <x:xf numFmtId="0" fontId="16" fillId="0" borderId="0" xfId="0" applyNumberFormat="1" applyFont="1" applyFill="1" applyBorder="1" applyAlignment="1">
      <x:alignment wrapText="1"/>
    </x:xf>
    <x:xf numFmtId="0" fontId="16" fillId="0" borderId="0" xfId="0" applyNumberFormat="1" applyFont="1" applyFill="1" applyBorder="1" applyAlignment="1">
      <x:alignment vertical="center"/>
    </x:xf>
    <x:xf numFmtId="0" fontId="17" fillId="4" borderId="1" xfId="0" applyNumberFormat="1" applyFont="1" applyFill="1" applyBorder="1" applyAlignment="1">
      <x:alignment vertical="center"/>
    </x:xf>
    <x:xf numFmtId="0" fontId="17" fillId="4" borderId="2" xfId="0" applyNumberFormat="1" applyFont="1" applyFill="1" applyBorder="1" applyAlignment="1">
      <x:alignment vertical="center"/>
    </x:xf>
    <x:xf numFmtId="0" fontId="17" fillId="4" borderId="3" xfId="0" applyNumberFormat="1" applyFont="1" applyFill="1" applyBorder="1" applyAlignment="1">
      <x:alignment vertical="center"/>
    </x:xf>
    <x:xf numFmtId="0" fontId="26" fillId="9" borderId="0" xfId="0" applyNumberFormat="1" applyFont="1" applyFill="1" applyBorder="1" applyAlignment="1">
      <x:alignment vertical="center"/>
    </x:xf>
    <x:xf numFmtId="0" fontId="26" fillId="11" borderId="0" xfId="0" applyNumberFormat="1" applyFont="1" applyFill="1" applyBorder="1" applyAlignment="1">
      <x:alignment vertical="center"/>
    </x:xf>
    <x:xf numFmtId="0" fontId="17" fillId="3" borderId="0" xfId="0" applyNumberFormat="1" applyFont="1" applyFill="1" applyBorder="1" applyAlignment="1">
      <x:alignment vertical="center"/>
    </x:xf>
    <x:xf numFmtId="0" fontId="16" fillId="0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11" borderId="0" xfId="0" applyNumberFormat="1" applyFont="1" applyFill="1" applyBorder="1" applyAlignment="1">
      <x:alignment wrapText="1"/>
    </x:xf>
    <x:xf numFmtId="0" fontId="12" fillId="11" borderId="0" xfId="0" applyNumberFormat="1" applyFont="1" applyFill="1" applyBorder="1" applyAlignment="1">
      <x:alignment vertical="center" wrapText="1"/>
    </x:xf>
    <x:xf numFmtId="0" fontId="28" fillId="0" borderId="0" xfId="0" applyNumberFormat="1" applyFont="1" applyFill="1" applyBorder="1"/>
    <x:xf numFmtId="0" fontId="28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" fillId="0" borderId="0" xfId="0" applyNumberFormat="1" applyFont="1" applyFill="1" applyBorder="1" applyAlignment="1">
      <x:alignment wrapText="1"/>
    </x:xf>
    <x:xf numFmtId="0" fontId="28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" fillId="0" borderId="0" xfId="0" applyNumberFormat="1" applyFont="1" applyFill="1" applyBorder="1" applyAlignment="1">
      <x:alignment vertical="top" wrapText="1"/>
    </x:xf>
    <x:xf numFmtId="0" fontId="28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11" borderId="35" xfId="0" applyNumberFormat="1" applyFont="1" applyFill="1" applyBorder="1" applyAlignment="1">
      <x:alignment vertical="center" wrapText="1"/>
    </x:xf>
    <x:xf numFmtId="0" fontId="28" fillId="0" borderId="36" xfId="0" applyNumberFormat="1" applyFont="1" applyFill="1" applyBorder="1" applyAlignment="1">
      <x:alignment vertical="top" wrapText="1"/>
    </x:xf>
    <x:xf numFmtId="0" fontId="28" fillId="0" borderId="3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" fillId="0" borderId="37" xfId="0" applyNumberFormat="1" applyFont="1" applyFill="1" applyBorder="1" applyAlignment="1">
      <x:alignment vertical="top" wrapText="1"/>
    </x:xf>
    <x:xf numFmtId="0" fontId="28" fillId="0" borderId="37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9" borderId="0" xfId="0" applyNumberFormat="1" applyFont="1" applyFill="1" applyBorder="1" applyAlignment="1">
      <x:alignment wrapText="1"/>
    </x:xf>
    <x:xf numFmtId="0" fontId="12" fillId="9" borderId="0" xfId="0" applyNumberFormat="1" applyFont="1" applyFill="1" applyBorder="1" applyAlignment="1">
      <x:alignment vertical="center" wrapText="1"/>
    </x:xf>
    <x:xf numFmtId="0" fontId="28" fillId="7" borderId="0" xfId="0" applyNumberFormat="1" applyFont="1" applyFill="1" applyBorder="1" applyAlignment="1">
      <x:alignment vertical="top" wrapText="1"/>
    </x:xf>
    <x:xf numFmtId="200" fontId="28" fillId="0" borderId="0" xfId="0" applyNumberFormat="1" applyFont="1" applyFill="1" applyBorder="1" applyAlignment="1">
      <x:alignment vertical="top" wrapText="1"/>
    </x:xf>
    <x:xf numFmtId="200" fontId="28" fillId="7" borderId="0" xfId="0" applyNumberFormat="1" applyFont="1" applyFill="1" applyBorder="1" applyAlignment="1">
      <x:alignment vertical="top" wrapText="1"/>
    </x:xf>
    <x:xf numFmtId="0" fontId="29" fillId="0" borderId="0" xfId="0" applyNumberFormat="1" applyFont="1" applyFill="1" applyBorder="1"/>
    <x:xf numFmtId="0" fontId="29" fillId="0" borderId="0" xfId="0" applyNumberFormat="1" applyFont="1" applyFill="1" applyBorder="1" applyAlignment="1">
      <x:alignment wrapText="1"/>
    </x:xf>
    <x:xf numFmtId="0" fontId="29" fillId="0" borderId="0" xfId="0" applyNumberFormat="1" applyFont="1" applyFill="1" applyBorder="1" applyAlignment="1">
      <x:alignment vertical="top" wrapText="1"/>
    </x:xf>
    <x:xf numFmtId="0" fontId="26" fillId="11" borderId="35" xfId="0" applyNumberFormat="1" applyFont="1" applyFill="1" applyBorder="1" applyAlignment="1">
      <x:alignment vertical="center" wrapText="1"/>
    </x:xf>
    <x:xf numFmtId="0" fontId="30" fillId="0" borderId="36" xfId="0" applyNumberFormat="1" applyFont="1" applyFill="1" applyBorder="1" applyAlignment="1">
      <x:alignment vertical="top" wrapText="1"/>
    </x:xf>
    <x:xf numFmtId="0" fontId="30" fillId="0" borderId="3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" fillId="0" borderId="37" xfId="0" applyNumberFormat="1" applyFont="1" applyFill="1" applyBorder="1" applyAlignment="1">
      <x:alignment vertical="top" wrapText="1"/>
    </x:xf>
    <x:xf numFmtId="0" fontId="30" fillId="0" borderId="37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" fillId="9" borderId="0" xfId="0" applyNumberFormat="1" applyFont="1" applyFill="1" applyBorder="1" applyAlignment="1">
      <x:alignment vertical="center" wrapText="1"/>
    </x:xf>
    <x:xf numFmtId="0" fontId="30" fillId="0" borderId="0" xfId="0" applyNumberFormat="1" applyFont="1" applyFill="1" applyBorder="1" applyAlignment="1">
      <x:alignment vertical="top" wrapText="1"/>
    </x:xf>
    <x:xf numFmtId="0" fontId="30" fillId="7" borderId="0" xfId="0" applyNumberFormat="1" applyFont="1" applyFill="1" applyBorder="1" applyAlignment="1">
      <x:alignment vertical="top" wrapText="1"/>
    </x:xf>
    <x:xf numFmtId="200" fontId="30" fillId="0" borderId="0" xfId="0" applyNumberFormat="1" applyFont="1" applyFill="1" applyBorder="1" applyAlignment="1">
      <x:alignment vertical="top" wrapText="1"/>
    </x:xf>
    <x:xf numFmtId="200" fontId="30" fillId="7" borderId="0" xfId="0" applyNumberFormat="1" applyFont="1" applyFill="1" applyBorder="1" applyAlignment="1">
      <x:alignment vertical="top" wrapText="1"/>
    </x:xf>
    <x:xf numFmtId="0" fontId="26" fillId="9" borderId="0" xfId="0" applyNumberFormat="1" applyFont="1" applyFill="1" applyBorder="1" applyAlignment="1">
      <x:alignment wrapText="1"/>
    </x:xf>
    <x:xf numFmtId="0" fontId="3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18864B"/>
      </x:font>
      <x:fill>
        <x:patternFill patternType="solid">
          <x:bgColor rgb="FFE7F6EC"/>
        </x:patternFill>
      </x:fill>
    </x:dxf>
    <x:dxf>
      <x:font>
        <x:b/>
        <x:color rgb="FFC53A2A"/>
      </x:font>
      <x:fill>
        <x:patternFill patternType="solid">
          <x:bgColor rgb="FFFCE9E6"/>
        </x:patternFill>
      </x:fill>
    </x:dxf>
    <x:dxf>
      <x:font>
        <x:b/>
        <x:color rgb="FFA66A00"/>
      </x:font>
      <x:fill>
        <x:patternFill patternType="solid">
          <x:bgColor rgb="FFFFF4D8"/>
        </x:patternFill>
      </x:fill>
    </x:dxf>
    <x:dxf>
      <x:font>
        <x:b/>
        <x:color rgb="FF5E6472"/>
      </x:font>
      <x:fill>
        <x:patternFill patternType="solid">
          <x:bgColor rgb="FFEEF0F3"/>
        </x:patternFill>
      </x:fill>
    </x:dxf>
    <x:dxf>
      <x:font>
        <x:b/>
        <x:color rgb="FF18864B"/>
      </x:font>
      <x:fill>
        <x:patternFill patternType="solid">
          <x:bgColor rgb="FFE7F6EC"/>
        </x:patternFill>
      </x:fill>
    </x:dxf>
    <x:dxf>
      <x:font>
        <x:b/>
        <x:color rgb="FFC53A2A"/>
      </x:font>
      <x:fill>
        <x:patternFill patternType="solid">
          <x:bgColor rgb="FFFCE9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3742c0a89944c6" /><Relationship Type="http://schemas.openxmlformats.org/officeDocument/2006/relationships/theme" Target="/xl/theme/theme1.xml" Id="Ra95dd3eb81224e68" /><Relationship Type="http://schemas.microsoft.com/office/2022/11/relationships/FeaturePropertyBag" Target="/xl/featurePropertyBag/featurePropertyBag.xml" Id="R93cb48f76ade4dfb" /><Relationship Type="http://schemas.openxmlformats.org/officeDocument/2006/relationships/sharedStrings" Target="/xl/sharedStrings.xml" Id="Rdc446e90907e4062" /><Relationship Type="http://schemas.openxmlformats.org/officeDocument/2006/relationships/worksheet" Target="/xl/worksheets/sheet1.xml" Id="Rbf67c8a63740400f" /><Relationship Type="http://schemas.openxmlformats.org/officeDocument/2006/relationships/worksheet" Target="/xl/worksheets/sheet2.xml" Id="R6cdef2919be941b7" /><Relationship Type="http://schemas.openxmlformats.org/officeDocument/2006/relationships/worksheet" Target="/xl/worksheets/sheet3.xml" Id="Rf7c8723ab324493f" /><Relationship Type="http://schemas.openxmlformats.org/officeDocument/2006/relationships/worksheet" Target="/xl/worksheets/sheet4.xml" Id="Rc4239ed9d5c142c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omplianceTestCases" displayName="ComplianceTestCases" ref="A4:AA16" headerRowCount="1" totalsRowCount="0" totalsRowShown="0">
  <x:tableColumns count="27">
    <x:tableColumn id="1" name="用例编号"/>
    <x:tableColumn id="2" name="用例名称"/>
    <x:tableColumn id="3" name="图片文件"/>
    <x:tableColumn id="4" name="国家/地区"/>
    <x:tableColumn id="5" name="行业"/>
    <x:tableColumn id="6" name="产品类型"/>
    <x:tableColumn id="7" name="产品监管身份"/>
    <x:tableColumn id="8" name="渠道"/>
    <x:tableColumn id="9" name="内容格式"/>
    <x:tableColumn id="10" name="内容来源"/>
    <x:tableColumn id="11" name="是否有文字图层"/>
    <x:tableColumn id="12" name="证明材料"/>
    <x:tableColumn id="13" name="海报可见文字标准答案"/>
    <x:tableColumn id="14" name="预期状态"/>
    <x:tableColumn id="15" name="预期触发方式"/>
    <x:tableColumn id="16" name="预期问题类型"/>
    <x:tableColumn id="17" name="预期标记片段"/>
    <x:tableColumn id="18" name="预期缺失信息"/>
    <x:tableColumn id="19" name="预期下一步操作"/>
    <x:tableColumn id="20" name="已检查范围"/>
    <x:tableColumn id="21" name="未检查范围"/>
    <x:tableColumn id="22" name="知识包"/>
    <x:tableColumn id="23" name="规则版本"/>
    <x:tableColumn id="24" name="标准答案理由"/>
    <x:tableColumn id="25" name="规则来源链接"/>
    <x:tableColumn id="26" name="难度"/>
    <x:tableColumn id="27" name="标签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aluationResults" displayName="EvaluationResults" ref="A4:O16" headerRowCount="1" totalsRowCount="0" totalsRowShown="0">
  <x:tableColumns count="15">
    <x:tableColumn id="1" name="用例编号"/>
    <x:tableColumn id="2" name="预期状态"/>
    <x:tableColumn id="3" name="实际状态"/>
    <x:tableColumn id="4" name="状态得分"/>
    <x:tableColumn id="5" name="预期问题类型"/>
    <x:tableColumn id="6" name="实际问题类型"/>
    <x:tableColumn id="7" name="问题得分"/>
    <x:tableColumn id="8" name="预期下一步操作"/>
    <x:tableColumn id="9" name="实际下一步操作"/>
    <x:tableColumn id="10" name="操作得分"/>
    <x:tableColumn id="11" name="实际提取文字"/>
    <x:tableColumn id="12" name="OCR关键文本得分"/>
    <x:tableColumn id="13" name="耗时（毫秒）"/>
    <x:tableColumn id="14" name="错误备注"/>
    <x:tableColumn id="15" name="整体通过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osterIndex" displayName="PosterIndex" ref="A4:F16" headerRowCount="1" totalsRowCount="0" totalsRowShown="0">
  <x:tableColumns count="6">
    <x:tableColumn id="1" name="用例编号"/>
    <x:tableColumn id="2" name="用例名称"/>
    <x:tableColumn id="3" name="预期状态"/>
    <x:tableColumn id="4" name="图片文件"/>
    <x:tableColumn id="5" name="海报可见文字标准答案"/>
    <x:tableColumn id="6" name="难度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0915a4a1f94a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e17b3009e645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d9b16fe6e0c49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4" customHeight="1">
      <x:c r="A1" s="145" t="str">
        <x:v>Canva AI 海报文字合规审核｜中文小型测评集</x:v>
      </x:c>
      <x:c r="B1" s="145"/>
      <x:c r="C1" s="145"/>
      <x:c r="D1" s="145"/>
      <x:c r="E1" s="145"/>
      <x:c r="F1" s="145"/>
      <x:c r="G1" s="145"/>
      <x:c r="H1" s="145"/>
    </x:row>
    <x:row r="2" ht="27" customHeight="1">
      <x:c r="A2" s="146" t="str">
        <x:v>12 个端到端标准答案用例：审核对象是生成或上传海报中的可见文字，不审核用户提示词。</x:v>
      </x:c>
      <x:c r="B2" s="146"/>
      <x:c r="C2" s="146"/>
      <x:c r="D2" s="146"/>
      <x:c r="E2" s="146"/>
      <x:c r="F2" s="146"/>
      <x:c r="G2" s="146"/>
      <x:c r="H2" s="146"/>
    </x:row>
    <x:row r="3">
      <x:c r="A3" s="189"/>
      <x:c r="B3" s="189"/>
      <x:c r="C3" s="189"/>
      <x:c r="D3" s="189"/>
      <x:c r="E3" s="189"/>
      <x:c r="F3" s="189"/>
      <x:c r="G3" s="189"/>
      <x:c r="H3" s="189"/>
    </x:row>
    <x:row r="4">
      <x:c r="A4" s="190" t="str">
        <x:v>数据集范围</x:v>
      </x:c>
      <x:c r="B4" s="191" t="str">
        <x:v>澳大利亚</x:v>
      </x:c>
      <x:c r="C4" s="191" t="str">
        <x:v>行业</x:v>
      </x:c>
      <x:c r="D4" s="191" t="str">
        <x:v>美妆</x:v>
      </x:c>
      <x:c r="E4" s="191" t="str">
        <x:v>内容格式</x:v>
      </x:c>
      <x:c r="F4" s="191" t="str">
        <x:v>海报图片</x:v>
      </x:c>
      <x:c r="G4" s="191" t="str">
        <x:v>用例数</x:v>
      </x:c>
      <x:c r="H4" s="192" t="n">
        <x:v>12</x:v>
      </x:c>
    </x:row>
    <x:row r="5">
      <x:c r="A5" s="189"/>
      <x:c r="B5" s="189"/>
      <x:c r="C5" s="189"/>
      <x:c r="D5" s="189"/>
      <x:c r="E5" s="189"/>
      <x:c r="F5" s="189"/>
      <x:c r="G5" s="189"/>
      <x:c r="H5" s="189"/>
    </x:row>
    <x:row r="6">
      <x:c r="A6" s="151" t="str">
        <x:v>可以发布</x:v>
      </x:c>
      <x:c r="B6" s="152"/>
      <x:c r="C6" s="153" t="str">
        <x:v>发布前需修改</x:v>
      </x:c>
      <x:c r="D6" s="154"/>
      <x:c r="E6" s="155" t="str">
        <x:v>需要你补充信息</x:v>
      </x:c>
      <x:c r="F6" s="156"/>
      <x:c r="G6" s="157" t="str">
        <x:v>不在覆盖范围</x:v>
      </x:c>
      <x:c r="H6" s="158"/>
    </x:row>
    <x:row r="7">
      <x:c r="A7" s="159" t="n">
        <x:f>COUNTIF('测试用例'!$N$5:$N$16,"可以发布")</x:f>
        <x:v>3</x:v>
      </x:c>
      <x:c r="B7" s="160"/>
      <x:c r="C7" s="161" t="n">
        <x:f>COUNTIF('测试用例'!$N$5:$N$16,"发布前需修改")</x:f>
        <x:v>4</x:v>
      </x:c>
      <x:c r="D7" s="162"/>
      <x:c r="E7" s="163" t="n">
        <x:f>COUNTIF('测试用例'!$N$5:$N$16,"需要你补充信息")</x:f>
        <x:v>4</x:v>
      </x:c>
      <x:c r="F7" s="164"/>
      <x:c r="G7" s="165" t="n">
        <x:f>COUNTIF('测试用例'!$N$5:$N$16,"不在覆盖范围")</x:f>
        <x:v>1</x:v>
      </x:c>
      <x:c r="H7" s="166"/>
    </x:row>
    <x:row r="8">
      <x:c r="A8" s="167"/>
      <x:c r="B8" s="168"/>
      <x:c r="C8" s="169"/>
      <x:c r="D8" s="170"/>
      <x:c r="E8" s="171"/>
      <x:c r="F8" s="172"/>
      <x:c r="G8" s="173"/>
      <x:c r="H8" s="174"/>
    </x:row>
    <x:row r="9">
      <x:c r="A9" s="189"/>
      <x:c r="B9" s="189"/>
      <x:c r="C9" s="189"/>
      <x:c r="D9" s="189"/>
      <x:c r="E9" s="189"/>
      <x:c r="F9" s="189"/>
      <x:c r="G9" s="189"/>
      <x:c r="H9" s="189"/>
    </x:row>
    <x:row r="10">
      <x:c r="A10" s="193" t="str">
        <x:v>如何使用</x:v>
      </x:c>
      <x:c r="B10" s="193"/>
      <x:c r="C10" s="193"/>
      <x:c r="D10" s="193"/>
      <x:c r="E10" s="193"/>
      <x:c r="F10" s="193"/>
      <x:c r="G10" s="193"/>
      <x:c r="H10" s="193"/>
    </x:row>
    <x:row r="11" ht="34" customHeight="1">
      <x:c r="A11" s="176" t="str">
        <x:v>1</x:v>
      </x:c>
      <x:c r="B11" s="177" t="str">
        <x:v>从 images 文件夹读取海报图片，并将同一行审核上下文一起发送给模型。</x:v>
      </x:c>
      <x:c r="C11" s="178" t="str"/>
      <x:c r="D11" s="178" t="str"/>
      <x:c r="E11" s="178" t="str"/>
      <x:c r="F11" s="178" t="str"/>
      <x:c r="G11" s="178" t="str"/>
      <x:c r="H11" s="179" t="str"/>
    </x:row>
    <x:row r="12" ht="34" customHeight="1">
      <x:c r="A12" s="176" t="str">
        <x:v>2</x:v>
      </x:c>
      <x:c r="B12" s="180" t="str">
        <x:v>要求模型返回：提取文字、状态、问题类型、标记片段、缺失信息和下一步操作。</x:v>
      </x:c>
      <x:c r="C12" s="181" t="str"/>
      <x:c r="D12" s="181" t="str"/>
      <x:c r="E12" s="181" t="str"/>
      <x:c r="F12" s="181" t="str"/>
      <x:c r="G12" s="181" t="str"/>
      <x:c r="H12" s="182" t="str"/>
    </x:row>
    <x:row r="13" ht="34" customHeight="1">
      <x:c r="A13" s="176" t="str">
        <x:v>3</x:v>
      </x:c>
      <x:c r="B13" s="180" t="str">
        <x:v>把模型实际输出填写到“评测结果”黄色输入列，得分列会自动比较；OCR 关键文本采用人工 0/1 评分。</x:v>
      </x:c>
      <x:c r="C13" s="181" t="str"/>
      <x:c r="D13" s="181" t="str"/>
      <x:c r="E13" s="181" t="str"/>
      <x:c r="F13" s="181" t="str"/>
      <x:c r="G13" s="181" t="str"/>
      <x:c r="H13" s="182" t="str"/>
    </x:row>
    <x:row r="14" ht="34" customHeight="1">
      <x:c r="A14" s="176" t="str">
        <x:v>4</x:v>
      </x:c>
      <x:c r="B14" s="180" t="str">
        <x:v>内容或 Context 改变后必须重新检测；应用改写本身不等于通过。</x:v>
      </x:c>
      <x:c r="C14" s="181" t="str"/>
      <x:c r="D14" s="181" t="str"/>
      <x:c r="E14" s="181" t="str"/>
      <x:c r="F14" s="181" t="str"/>
      <x:c r="G14" s="181" t="str"/>
      <x:c r="H14" s="182" t="str"/>
    </x:row>
    <x:row r="15" ht="34" customHeight="1">
      <x:c r="A15" s="176" t="str">
        <x:v>5</x:v>
      </x:c>
      <x:c r="B15" s="183" t="str">
        <x:v>测评集用于产品与模型验证，不替代法律意见；上线前由合规负责人复核标准答案标签。</x:v>
      </x:c>
      <x:c r="C15" s="184" t="str"/>
      <x:c r="D15" s="184" t="str"/>
      <x:c r="E15" s="184" t="str"/>
      <x:c r="F15" s="184" t="str"/>
      <x:c r="G15" s="184" t="str"/>
      <x:c r="H15" s="185" t="str"/>
    </x:row>
    <x:row r="16">
      <x:c r="A16" s="189"/>
      <x:c r="B16" s="189"/>
      <x:c r="C16" s="189"/>
      <x:c r="D16" s="189"/>
      <x:c r="E16" s="189"/>
      <x:c r="F16" s="189"/>
      <x:c r="G16" s="189"/>
      <x:c r="H16" s="189"/>
    </x:row>
    <x:row r="17">
      <x:c r="A17" s="194" t="str">
        <x:v>覆盖说明与依据</x:v>
      </x:c>
      <x:c r="B17" s="194"/>
      <x:c r="C17" s="194"/>
      <x:c r="D17" s="194"/>
      <x:c r="E17" s="194"/>
      <x:c r="F17" s="194"/>
      <x:c r="G17" s="194"/>
      <x:c r="H17" s="194"/>
    </x:row>
    <x:row r="18">
      <x:c r="A18" s="195" t="str">
        <x:v>已检查</x:v>
      </x:c>
      <x:c r="B18" s="196" t="str">
        <x:v>澳大利亚法规 · 美妆 · 产品监管身份 · 海报文字</x:v>
      </x:c>
      <x:c r="C18" s="196" t="str"/>
      <x:c r="D18" s="196" t="str"/>
      <x:c r="E18" s="196" t="str"/>
      <x:c r="F18" s="196" t="str"/>
      <x:c r="G18" s="196" t="str"/>
      <x:c r="H18" s="196" t="str"/>
    </x:row>
    <x:row r="19">
      <x:c r="A19" s="195" t="str">
        <x:v>默认未检查</x:v>
      </x:c>
      <x:c r="B19" s="196" t="str">
        <x:v>平台政策 · 非文字视觉声称 · 落地页</x:v>
      </x:c>
      <x:c r="C19" s="196" t="str"/>
      <x:c r="D19" s="196" t="str"/>
      <x:c r="E19" s="196" t="str"/>
      <x:c r="F19" s="196" t="str"/>
      <x:c r="G19" s="196" t="str"/>
      <x:c r="H19" s="196" t="str"/>
    </x:row>
    <x:row r="20">
      <x:c r="A20" s="195" t="str">
        <x:v>主要依据 1</x:v>
      </x:c>
      <x:c r="B20" s="196" t="str">
        <x:v>TGA：如何区分化妆品与治疗用品</x:v>
      </x:c>
      <x:c r="C20" s="196" t="str"/>
      <x:c r="D20" s="196" t="str"/>
      <x:c r="E20" s="196" t="str"/>
      <x:c r="F20" s="196" t="str"/>
      <x:c r="G20" s="196" t="str"/>
      <x:c r="H20" s="196" t="str"/>
    </x:row>
    <x:row r="21">
      <x:c r="A21" s="195" t="str">
        <x:v>主要依据 2</x:v>
      </x:c>
      <x:c r="B21" s="196" t="str">
        <x:v>TGA：强制声明与广告一般要求</x:v>
      </x:c>
      <x:c r="C21" s="196" t="str"/>
      <x:c r="D21" s="196" t="str"/>
      <x:c r="E21" s="196" t="str"/>
      <x:c r="F21" s="196" t="str"/>
      <x:c r="G21" s="196" t="str"/>
      <x:c r="H21" s="196" t="str"/>
    </x:row>
  </x:sheetData>
  <x:mergeCells>
    <x:mergeCell ref="A1:H1"/>
    <x:mergeCell ref="A2:H2"/>
    <x:mergeCell ref="A6:B6"/>
    <x:mergeCell ref="C6:D6"/>
    <x:mergeCell ref="E6:F6"/>
    <x:mergeCell ref="G6:H6"/>
    <x:mergeCell ref="A7:B8"/>
    <x:mergeCell ref="C7:D8"/>
    <x:mergeCell ref="E7:F8"/>
    <x:mergeCell ref="G7:H8"/>
    <x:mergeCell ref="A10:H10"/>
    <x:mergeCell ref="B11:H11"/>
    <x:mergeCell ref="B12:H12"/>
    <x:mergeCell ref="B13:H13"/>
    <x:mergeCell ref="B14:H14"/>
    <x:mergeCell ref="B15:H15"/>
    <x:mergeCell ref="A17:H17"/>
    <x:mergeCell ref="B18:H18"/>
    <x:mergeCell ref="B19:H19"/>
    <x:mergeCell ref="B20:H20"/>
    <x:mergeCell ref="B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42" hidden="0" customWidth="1"/>
    <x:col min="14" max="14" width="20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48" hidden="0" customWidth="1"/>
    <x:col min="25" max="25" width="46" hidden="0" customWidth="1"/>
    <x:col min="26" max="26" width="16" hidden="0" customWidth="1"/>
    <x:col min="27" max="27" width="16" hidden="0" customWidth="1"/>
  </x:cols>
  <x:sheetData>
    <x:row r="1" ht="34" customHeight="1">
      <x:c r="A1" s="145" t="str">
        <x:v>标准答案测试用例</x:v>
      </x:c>
      <x:c r="B1" s="145"/>
      <x:c r="C1" s="145"/>
      <x:c r="D1" s="145"/>
      <x:c r="E1" s="145"/>
      <x:c r="F1" s="145"/>
      <x:c r="G1" s="145"/>
      <x:c r="H1" s="145"/>
      <x:c r="I1" s="145"/>
      <x:c r="J1" s="145"/>
      <x:c r="K1" s="145"/>
      <x:c r="L1" s="145"/>
      <x:c r="M1" s="145"/>
      <x:c r="N1" s="145"/>
      <x:c r="O1" s="145"/>
      <x:c r="P1" s="145"/>
      <x:c r="Q1" s="145"/>
      <x:c r="R1" s="145"/>
      <x:c r="S1" s="145"/>
      <x:c r="T1" s="145"/>
      <x:c r="U1" s="145"/>
      <x:c r="V1" s="145"/>
      <x:c r="W1" s="145"/>
      <x:c r="X1" s="145"/>
      <x:c r="Y1" s="145"/>
      <x:c r="Z1" s="145"/>
      <x:c r="AA1" s="145"/>
    </x:row>
    <x:row r="2" ht="27" customHeight="1">
      <x:c r="A2" s="146" t="str">
        <x:v>一行一个中文海报案例；预期字段用于模型判定对照，来源链接用于规则复核。</x:v>
      </x:c>
      <x:c r="B2" s="146"/>
      <x:c r="C2" s="146"/>
      <x:c r="D2" s="146"/>
      <x:c r="E2" s="146"/>
      <x:c r="F2" s="146"/>
      <x:c r="G2" s="146"/>
      <x:c r="H2" s="146"/>
      <x:c r="I2" s="146"/>
      <x:c r="J2" s="146"/>
      <x:c r="K2" s="146"/>
      <x:c r="L2" s="146"/>
      <x:c r="M2" s="146"/>
      <x:c r="N2" s="146"/>
      <x:c r="O2" s="146"/>
      <x:c r="P2" s="146"/>
      <x:c r="Q2" s="146"/>
      <x:c r="R2" s="146"/>
      <x:c r="S2" s="146"/>
      <x:c r="T2" s="146"/>
      <x:c r="U2" s="146"/>
      <x:c r="V2" s="146"/>
      <x:c r="W2" s="146"/>
      <x:c r="X2" s="146"/>
      <x:c r="Y2" s="146"/>
      <x:c r="Z2" s="146"/>
      <x:c r="AA2" s="146"/>
    </x:row>
    <x:row r="3">
      <x:c r="A3" s="147"/>
      <x:c r="B3" s="147"/>
      <x:c r="C3" s="147"/>
      <x:c r="D3" s="147"/>
      <x:c r="E3" s="147"/>
      <x:c r="F3" s="147"/>
      <x:c r="G3" s="147"/>
      <x:c r="H3" s="147"/>
      <x:c r="I3" s="147"/>
      <x:c r="J3" s="147"/>
      <x:c r="K3" s="147"/>
      <x:c r="L3" s="147"/>
      <x:c r="M3" s="147"/>
      <x:c r="N3" s="147"/>
      <x:c r="O3" s="147"/>
      <x:c r="P3" s="147"/>
      <x:c r="Q3" s="147"/>
      <x:c r="R3" s="147"/>
      <x:c r="S3" s="147"/>
      <x:c r="T3" s="147"/>
      <x:c r="U3" s="147"/>
      <x:c r="V3" s="147"/>
      <x:c r="W3" s="147"/>
      <x:c r="X3" s="147"/>
      <x:c r="Y3" s="147"/>
      <x:c r="Z3" s="147"/>
      <x:c r="AA3" s="147"/>
    </x:row>
    <x:row r="4">
      <x:c r="A4" s="219" t="str">
        <x:v>用例编号</x:v>
      </x:c>
      <x:c r="B4" s="219" t="str">
        <x:v>用例名称</x:v>
      </x:c>
      <x:c r="C4" s="219" t="str">
        <x:v>图片文件</x:v>
      </x:c>
      <x:c r="D4" s="219" t="str">
        <x:v>国家/地区</x:v>
      </x:c>
      <x:c r="E4" s="219" t="str">
        <x:v>行业</x:v>
      </x:c>
      <x:c r="F4" s="219" t="str">
        <x:v>产品类型</x:v>
      </x:c>
      <x:c r="G4" s="219" t="str">
        <x:v>产品监管身份</x:v>
      </x:c>
      <x:c r="H4" s="219" t="str">
        <x:v>渠道</x:v>
      </x:c>
      <x:c r="I4" s="219" t="str">
        <x:v>内容格式</x:v>
      </x:c>
      <x:c r="J4" s="219" t="str">
        <x:v>内容来源</x:v>
      </x:c>
      <x:c r="K4" s="219" t="str">
        <x:v>是否有文字图层</x:v>
      </x:c>
      <x:c r="L4" s="219" t="str">
        <x:v>证明材料</x:v>
      </x:c>
      <x:c r="M4" s="219" t="str">
        <x:v>海报可见文字标准答案</x:v>
      </x:c>
      <x:c r="N4" s="219" t="str">
        <x:v>预期状态</x:v>
      </x:c>
      <x:c r="O4" s="219" t="str">
        <x:v>预期触发方式</x:v>
      </x:c>
      <x:c r="P4" s="219" t="str">
        <x:v>预期问题类型</x:v>
      </x:c>
      <x:c r="Q4" s="219" t="str">
        <x:v>预期标记片段</x:v>
      </x:c>
      <x:c r="R4" s="219" t="str">
        <x:v>预期缺失信息</x:v>
      </x:c>
      <x:c r="S4" s="219" t="str">
        <x:v>预期下一步操作</x:v>
      </x:c>
      <x:c r="T4" s="219" t="str">
        <x:v>已检查范围</x:v>
      </x:c>
      <x:c r="U4" s="219" t="str">
        <x:v>未检查范围</x:v>
      </x:c>
      <x:c r="V4" s="219" t="str">
        <x:v>知识包</x:v>
      </x:c>
      <x:c r="W4" s="219" t="str">
        <x:v>规则版本</x:v>
      </x:c>
      <x:c r="X4" s="219" t="str">
        <x:v>标准答案理由</x:v>
      </x:c>
      <x:c r="Y4" s="219" t="str">
        <x:v>规则来源链接</x:v>
      </x:c>
      <x:c r="Z4" s="219" t="str">
        <x:v>难度</x:v>
      </x:c>
      <x:c r="AA4" s="219" t="str">
        <x:v>标签</x:v>
      </x:c>
    </x:row>
    <x:row r="5" ht="72" customHeight="1">
      <x:c r="A5" s="220" t="str">
        <x:v>AU-ZH-001</x:v>
      </x:c>
      <x:c r="B5" s="220" t="str">
        <x:v>团队偏好表达，正常放行</x:v>
      </x:c>
      <x:c r="C5" s="220" t="str">
        <x:v>images/AU-ZH-001.png</x:v>
      </x:c>
      <x:c r="D5" s="220" t="str">
        <x:v>澳大利亚</x:v>
      </x:c>
      <x:c r="E5" s="220" t="str">
        <x:v>美妆</x:v>
      </x:c>
      <x:c r="F5" s="220" t="str">
        <x:v>面部保湿霜</x:v>
      </x:c>
      <x:c r="G5" s="220" t="str">
        <x:v>化妆品</x:v>
      </x:c>
      <x:c r="H5" s="220" t="str">
        <x:v>Instagram</x:v>
      </x:c>
      <x:c r="I5" s="220" t="str">
        <x:v>海报图片</x:v>
      </x:c>
      <x:c r="J5" s="220" t="str">
        <x:v>Canva 生成</x:v>
      </x:c>
      <x:c r="K5" s="221" t="b">
        <x:v>1</x:v>
      </x:c>
      <x:c r="L5" s="220" t="str">
        <x:v>无需提供</x:v>
      </x:c>
      <x:c r="M5" s="220" t="str">
        <x:v>我们团队最爱的配方 | 含烟酰胺与维生素 E | 温和呵护，适合日常使用 | LUMEA 日常保湿霜</x:v>
      </x:c>
      <x:c r="N5" s="220" t="str">
        <x:v>可以发布</x:v>
      </x:c>
      <x:c r="O5" s="220" t="str">
        <x:v>海报渲染完成</x:v>
      </x:c>
      <x:c r="P5" s="220" t="str">
        <x:v>已检查，无需修改</x:v>
      </x:c>
      <x:c r="Q5" s="220" t="str"/>
      <x:c r="R5" s="220" t="str"/>
      <x:c r="S5" s="220" t="str">
        <x:v>允许下载、发布或继续</x:v>
      </x:c>
      <x:c r="T5" s="220" t="str">
        <x:v>澳大利亚法规 · 美妆 · 化妆品 · 海报文字</x:v>
      </x:c>
      <x:c r="U5" s="220" t="str">
        <x:v>平台政策 · 非文字视觉声称 · 落地页</x:v>
      </x:c>
      <x:c r="V5" s="220" t="str">
        <x:v>AU-BEA-POSTER</x:v>
      </x:c>
      <x:c r="W5" s="220" t="str">
        <x:v>v1.0-demo</x:v>
      </x:c>
      <x:c r="X5" s="220" t="str">
        <x:v>在本测试 Context 下，团队偏好和成分描述没有表达治疗效果。</x:v>
      </x:c>
      <x:c r="Y5" s="220" t="str">
        <x:v>https://www.tga.gov.au/resources/guidance/determining-if-your-product-cosmetic-or-therapeutic-good</x:v>
      </x:c>
      <x:c r="Z5" s="220" t="str">
        <x:v>简单</x:v>
      </x:c>
      <x:c r="AA5" s="220" t="str">
        <x:v>可以发布,已检查无需修改,化妆品</x:v>
      </x:c>
    </x:row>
    <x:row r="6" ht="72" customHeight="1">
      <x:c r="A6" s="220" t="str">
        <x:v>AU-ZH-002</x:v>
      </x:c>
      <x:c r="B6" s="220" t="str">
        <x:v>AUST L 缺少强制声明</x:v>
      </x:c>
      <x:c r="C6" s="220" t="str">
        <x:v>images/AU-ZH-002.png</x:v>
      </x:c>
      <x:c r="D6" s="220" t="str">
        <x:v>澳大利亚</x:v>
      </x:c>
      <x:c r="E6" s="220" t="str">
        <x:v>美妆</x:v>
      </x:c>
      <x:c r="F6" s="220" t="str">
        <x:v>美容营养补充剂</x:v>
      </x:c>
      <x:c r="G6" s="220" t="str">
        <x:v>AUST L 列名药品</x:v>
      </x:c>
      <x:c r="H6" s="220" t="str">
        <x:v>Instagram</x:v>
      </x:c>
      <x:c r="I6" s="220" t="str">
        <x:v>海报图片</x:v>
      </x:c>
      <x:c r="J6" s="220" t="str">
        <x:v>Canva 生成</x:v>
      </x:c>
      <x:c r="K6" s="221" t="b">
        <x:v>1</x:v>
      </x:c>
      <x:c r="L6" s="220" t="str">
        <x:v>已提供 ARTG 适应症</x:v>
      </x:c>
      <x:c r="M6" s="220" t="str">
        <x:v>帮助维持免疫健康 | 每日健康支持 | AUST L 345678 | VITAGLOW 免疫支持</x:v>
      </x:c>
      <x:c r="N6" s="220" t="str">
        <x:v>发布前需修改</x:v>
      </x:c>
      <x:c r="O6" s="220" t="str">
        <x:v>海报渲染完成</x:v>
      </x:c>
      <x:c r="P6" s="220" t="str">
        <x:v>缺少强制声明</x:v>
      </x:c>
      <x:c r="Q6" s="220" t="str">
        <x:v>广告缺少必要强制声明</x:v>
      </x:c>
      <x:c r="R6" s="220" t="str"/>
      <x:c r="S6" s="220" t="str">
        <x:v>补充阅读标签和遵循使用说明的声明，然后重新检测</x:v>
      </x:c>
      <x:c r="T6" s="220" t="str">
        <x:v>澳大利亚法规 · 美妆 · AUST L · 海报文字</x:v>
      </x:c>
      <x:c r="U6" s="220" t="str">
        <x:v>平台政策 · 非文字视觉声称 · 落地页</x:v>
      </x:c>
      <x:c r="V6" s="220" t="str">
        <x:v>AU-BEA-POSTER</x:v>
      </x:c>
      <x:c r="W6" s="220" t="str">
        <x:v>v1.0-demo</x:v>
      </x:c>
      <x:c r="X6" s="220" t="str">
        <x:v>列名药品海报缺少本 Demo 知识包要求的简短强制声明。</x:v>
      </x:c>
      <x:c r="Y6" s="220" t="str">
        <x:v>https://www.tga.gov.au/products/regulations-all-products/advertising/applying-advertising-code/mandatory-statements-and-other-information-required-advertising</x:v>
      </x:c>
      <x:c r="Z6" s="220" t="str">
        <x:v>中等</x:v>
      </x:c>
      <x:c r="AA6" s="220" t="str">
        <x:v>发布前需修改,强制声明,AUST L</x:v>
      </x:c>
    </x:row>
    <x:row r="7" ht="72" customHeight="1">
      <x:c r="A7" s="220" t="str">
        <x:v>AU-ZH-003</x:v>
      </x:c>
      <x:c r="B7" s="220" t="str">
        <x:v>AUST L 强制声明齐全</x:v>
      </x:c>
      <x:c r="C7" s="220" t="str">
        <x:v>images/AU-ZH-003.png</x:v>
      </x:c>
      <x:c r="D7" s="220" t="str">
        <x:v>澳大利亚</x:v>
      </x:c>
      <x:c r="E7" s="220" t="str">
        <x:v>美妆</x:v>
      </x:c>
      <x:c r="F7" s="220" t="str">
        <x:v>美容营养补充剂</x:v>
      </x:c>
      <x:c r="G7" s="220" t="str">
        <x:v>AUST L 列名药品</x:v>
      </x:c>
      <x:c r="H7" s="220" t="str">
        <x:v>Instagram</x:v>
      </x:c>
      <x:c r="I7" s="220" t="str">
        <x:v>海报图片</x:v>
      </x:c>
      <x:c r="J7" s="220" t="str">
        <x:v>Canva 生成</x:v>
      </x:c>
      <x:c r="K7" s="221" t="b">
        <x:v>1</x:v>
      </x:c>
      <x:c r="L7" s="220" t="str">
        <x:v>已提供 ARTG 适应症</x:v>
      </x:c>
      <x:c r="M7" s="220" t="str">
        <x:v>帮助维持免疫健康 | 每日健康支持 | AUST L 345678 | 请务必阅读标签并遵循使用说明</x:v>
      </x:c>
      <x:c r="N7" s="220" t="str">
        <x:v>可以发布</x:v>
      </x:c>
      <x:c r="O7" s="220" t="str">
        <x:v>海报渲染完成</x:v>
      </x:c>
      <x:c r="P7" s="220" t="str">
        <x:v>已检查，无需修改</x:v>
      </x:c>
      <x:c r="Q7" s="220" t="str"/>
      <x:c r="R7" s="220" t="str"/>
      <x:c r="S7" s="220" t="str">
        <x:v>允许下载、发布或继续</x:v>
      </x:c>
      <x:c r="T7" s="220" t="str">
        <x:v>澳大利亚法规 · 美妆 · AUST L · 海报文字</x:v>
      </x:c>
      <x:c r="U7" s="220" t="str">
        <x:v>平台政策 · 非文字视觉声称 · 落地页</x:v>
      </x:c>
      <x:c r="V7" s="220" t="str">
        <x:v>AU-BEA-POSTER</x:v>
      </x:c>
      <x:c r="W7" s="220" t="str">
        <x:v>v1.0-demo</x:v>
      </x:c>
      <x:c r="X7" s="220" t="str">
        <x:v>假设健康声称与提供的 ARTG Context 一致，且强制声明清晰可见。</x:v>
      </x:c>
      <x:c r="Y7" s="220" t="str">
        <x:v>https://www.tga.gov.au/products/regulations-all-products/advertising/applying-advertising-code/mandatory-statements-and-other-information-required-advertising</x:v>
      </x:c>
      <x:c r="Z7" s="220" t="str">
        <x:v>中等</x:v>
      </x:c>
      <x:c r="AA7" s="220" t="str">
        <x:v>可以发布,强制声明,AUST L</x:v>
      </x:c>
    </x:row>
    <x:row r="8" ht="72" customHeight="1">
      <x:c r="A8" s="220" t="str">
        <x:v>AU-ZH-004</x:v>
      </x:c>
      <x:c r="B8" s="220" t="str">
        <x:v>监管身份不确定且含功效声称</x:v>
      </x:c>
      <x:c r="C8" s="220" t="str">
        <x:v>images/AU-ZH-004.png</x:v>
      </x:c>
      <x:c r="D8" s="220" t="str">
        <x:v>澳大利亚</x:v>
      </x:c>
      <x:c r="E8" s="220" t="str">
        <x:v>美妆</x:v>
      </x:c>
      <x:c r="F8" s="220" t="str">
        <x:v>护肤精华</x:v>
      </x:c>
      <x:c r="G8" s="220" t="str">
        <x:v>不确定</x:v>
      </x:c>
      <x:c r="H8" s="220" t="str">
        <x:v>Instagram</x:v>
      </x:c>
      <x:c r="I8" s="220" t="str">
        <x:v>海报图片</x:v>
      </x:c>
      <x:c r="J8" s="220" t="str">
        <x:v>Canva 生成</x:v>
      </x:c>
      <x:c r="K8" s="221" t="b">
        <x:v>1</x:v>
      </x:c>
      <x:c r="L8" s="220" t="str">
        <x:v>未提供</x:v>
      </x:c>
      <x:c r="M8" s="220" t="str">
        <x:v>7天修护受损肌肤 | 临床验证配方 | 由内焕新肌肤 | DERMA 焕新精华</x:v>
      </x:c>
      <x:c r="N8" s="220" t="str">
        <x:v>需要你补充信息</x:v>
      </x:c>
      <x:c r="O8" s="220" t="str">
        <x:v>海报渲染完成</x:v>
      </x:c>
      <x:c r="P8" s="220" t="str">
        <x:v>需要确认产品监管身份</x:v>
      </x:c>
      <x:c r="Q8" s="220" t="str">
        <x:v>7天修护受损肌肤</x:v>
      </x:c>
      <x:c r="R8" s="220" t="str">
        <x:v>确认属于化妆品还是治疗用品，并提供声称证据</x:v>
      </x:c>
      <x:c r="S8" s="220" t="str">
        <x:v>询问产品监管身份和 supporting evidence</x:v>
      </x:c>
      <x:c r="T8" s="220" t="str">
        <x:v>澳大利亚法规 · 美妆 · 海报文字</x:v>
      </x:c>
      <x:c r="U8" s="220" t="str">
        <x:v>最终产品监管规则集 · 平台政策 · 落地页</x:v>
      </x:c>
      <x:c r="V8" s="220" t="str">
        <x:v>AU-BEA-POSTER</x:v>
      </x:c>
      <x:c r="W8" s="220" t="str">
        <x:v>v1.0-demo</x:v>
      </x:c>
      <x:c r="X8" s="220" t="str">
        <x:v>该表述可能跨越化妆品与治疗用品边界，系统应先询问而不是猜测。</x:v>
      </x:c>
      <x:c r="Y8" s="220" t="str">
        <x:v>https://www.tga.gov.au/resources/guidance/determining-if-your-product-cosmetic-or-therapeutic-good</x:v>
      </x:c>
      <x:c r="Z8" s="220" t="str">
        <x:v>困难</x:v>
      </x:c>
      <x:c r="AA8" s="220" t="str">
        <x:v>需要补充信息,产品分类,监管边界</x:v>
      </x:c>
    </x:row>
    <x:row r="9" ht="72" customHeight="1">
      <x:c r="A9" s="220" t="str">
        <x:v>AU-ZH-005</x:v>
      </x:c>
      <x:c r="B9" s="220" t="str">
        <x:v>临床数据声称但未提供证据</x:v>
      </x:c>
      <x:c r="C9" s="220" t="str">
        <x:v>images/AU-ZH-005.png</x:v>
      </x:c>
      <x:c r="D9" s="220" t="str">
        <x:v>澳大利亚</x:v>
      </x:c>
      <x:c r="E9" s="220" t="str">
        <x:v>美妆</x:v>
      </x:c>
      <x:c r="F9" s="220" t="str">
        <x:v>保湿精华</x:v>
      </x:c>
      <x:c r="G9" s="220" t="str">
        <x:v>化妆品</x:v>
      </x:c>
      <x:c r="H9" s="220" t="str">
        <x:v>Instagram</x:v>
      </x:c>
      <x:c r="I9" s="220" t="str">
        <x:v>海报图片</x:v>
      </x:c>
      <x:c r="J9" s="220" t="str">
        <x:v>Canva 生成</x:v>
      </x:c>
      <x:c r="K9" s="221" t="b">
        <x:v>1</x:v>
      </x:c>
      <x:c r="L9" s="220" t="str">
        <x:v>未提供</x:v>
      </x:c>
      <x:c r="M9" s="220" t="str">
        <x:v>保湿度提升42% | 一次使用后经临床验证 | 透明质酸配方 | AQUA BOOST 保湿精华</x:v>
      </x:c>
      <x:c r="N9" s="220" t="str">
        <x:v>需要你补充信息</x:v>
      </x:c>
      <x:c r="O9" s="220" t="str">
        <x:v>海报渲染完成</x:v>
      </x:c>
      <x:c r="P9" s="220" t="str">
        <x:v>需要 supporting evidence</x:v>
      </x:c>
      <x:c r="Q9" s="220" t="str">
        <x:v>保湿度提升42%；经临床验证</x:v>
      </x:c>
      <x:c r="R9" s="220" t="str">
        <x:v>量化临床声称对应的研究或证明材料</x:v>
      </x:c>
      <x:c r="S9" s="220" t="str">
        <x:v>上传 supporting evidence，或删除该声称</x:v>
      </x:c>
      <x:c r="T9" s="220" t="str">
        <x:v>澳大利亚法规 · 美妆 · 化妆品 · 海报文字</x:v>
      </x:c>
      <x:c r="U9" s="220" t="str">
        <x:v>证据有效性 · 平台政策 · 落地页</x:v>
      </x:c>
      <x:c r="V9" s="220" t="str">
        <x:v>AU-BEA-POSTER</x:v>
      </x:c>
      <x:c r="W9" s="220" t="str">
        <x:v>v1.0-demo</x:v>
      </x:c>
      <x:c r="X9" s="220" t="str">
        <x:v>缺少 supporting evidence 时无法验证量化临床声称。</x:v>
      </x:c>
      <x:c r="Y9" s="220" t="str">
        <x:v>https://www.tga.gov.au/products/regulations-all-products/advertising/applying-advertising-code/general-requirements-advertising-therapeutic-goods-public</x:v>
      </x:c>
      <x:c r="Z9" s="220" t="str">
        <x:v>中等</x:v>
      </x:c>
      <x:c r="AA9" s="220" t="str">
        <x:v>需要补充信息,证据,临床声称</x:v>
      </x:c>
    </x:row>
    <x:row r="10" ht="72" customHeight="1">
      <x:c r="A10" s="220" t="str">
        <x:v>AU-ZH-006</x:v>
      </x:c>
      <x:c r="B10" s="220" t="str">
        <x:v>化妆品出现治疗型声称</x:v>
      </x:c>
      <x:c r="C10" s="220" t="str">
        <x:v>images/AU-ZH-006.png</x:v>
      </x:c>
      <x:c r="D10" s="220" t="str">
        <x:v>澳大利亚</x:v>
      </x:c>
      <x:c r="E10" s="220" t="str">
        <x:v>美妆</x:v>
      </x:c>
      <x:c r="F10" s="220" t="str">
        <x:v>身体乳</x:v>
      </x:c>
      <x:c r="G10" s="220" t="str">
        <x:v>化妆品</x:v>
      </x:c>
      <x:c r="H10" s="220" t="str">
        <x:v>Instagram</x:v>
      </x:c>
      <x:c r="I10" s="220" t="str">
        <x:v>海报图片</x:v>
      </x:c>
      <x:c r="J10" s="220" t="str">
        <x:v>Canva 生成</x:v>
      </x:c>
      <x:c r="K10" s="221" t="b">
        <x:v>1</x:v>
      </x:c>
      <x:c r="L10" s="220" t="str">
        <x:v>不适用</x:v>
      </x:c>
      <x:c r="M10" s="220" t="str">
        <x:v>治疗湿疹 | 在细胞层面修复受损肌肤 | 快速缓解炎症 | CALM SKIN 身体乳</x:v>
      </x:c>
      <x:c r="N10" s="220" t="str">
        <x:v>发布前需修改</x:v>
      </x:c>
      <x:c r="O10" s="220" t="str">
        <x:v>海报渲染完成</x:v>
      </x:c>
      <x:c r="P10" s="220" t="str">
        <x:v>监管边界触发</x:v>
      </x:c>
      <x:c r="Q10" s="220" t="str">
        <x:v>治疗湿疹；在细胞层面修复受损肌肤</x:v>
      </x:c>
      <x:c r="R10" s="220" t="str"/>
      <x:c r="S10" s="220" t="str">
        <x:v>删除治疗型表述，或重新分类后检测</x:v>
      </x:c>
      <x:c r="T10" s="220" t="str">
        <x:v>澳大利亚法规 · 美妆 · 化妆品 · 海报文字</x:v>
      </x:c>
      <x:c r="U10" s="220" t="str">
        <x:v>平台政策 · 产品注册有效性 · 落地页</x:v>
      </x:c>
      <x:c r="V10" s="220" t="str">
        <x:v>AU-BEA-POSTER</x:v>
      </x:c>
      <x:c r="W10" s="220" t="str">
        <x:v>v1.0-demo</x:v>
      </x:c>
      <x:c r="X10" s="220" t="str">
        <x:v>疾病治疗和细胞修复表述与化妆品 Context 不一致。</x:v>
      </x:c>
      <x:c r="Y10" s="220" t="str">
        <x:v>https://www.tga.gov.au/resources/guidance/determining-if-your-product-cosmetic-or-therapeutic-good</x:v>
      </x:c>
      <x:c r="Z10" s="220" t="str">
        <x:v>简单</x:v>
      </x:c>
      <x:c r="AA10" s="220" t="str">
        <x:v>发布前需修改,监管边界,治疗型声称</x:v>
      </x:c>
    </x:row>
    <x:row r="11" ht="72" customHeight="1">
      <x:c r="A11" s="220" t="str">
        <x:v>AU-ZH-007</x:v>
      </x:c>
      <x:c r="B11" s="220" t="str">
        <x:v>保证治愈与绝对功效</x:v>
      </x:c>
      <x:c r="C11" s="220" t="str">
        <x:v>images/AU-ZH-007.png</x:v>
      </x:c>
      <x:c r="D11" s="220" t="str">
        <x:v>澳大利亚</x:v>
      </x:c>
      <x:c r="E11" s="220" t="str">
        <x:v>美妆</x:v>
      </x:c>
      <x:c r="F11" s="220" t="str">
        <x:v>皮肤治疗产品</x:v>
      </x:c>
      <x:c r="G11" s="220" t="str">
        <x:v>AUST L 列名药品</x:v>
      </x:c>
      <x:c r="H11" s="220" t="str">
        <x:v>Instagram</x:v>
      </x:c>
      <x:c r="I11" s="220" t="str">
        <x:v>海报图片</x:v>
      </x:c>
      <x:c r="J11" s="220" t="str">
        <x:v>Canva 生成</x:v>
      </x:c>
      <x:c r="K11" s="221" t="b">
        <x:v>1</x:v>
      </x:c>
      <x:c r="L11" s="220" t="str">
        <x:v>已提供 ARTG Context</x:v>
      </x:c>
      <x:c r="M11" s="220" t="str">
        <x:v>保证治愈 | 每次都有效 | 零风险，无任何副作用 | AUST L 456789</x:v>
      </x:c>
      <x:c r="N11" s="220" t="str">
        <x:v>发布前需修改</x:v>
      </x:c>
      <x:c r="O11" s="220" t="str">
        <x:v>海报渲染完成</x:v>
      </x:c>
      <x:c r="P11" s="220" t="str">
        <x:v>绝对化或禁止性表述</x:v>
      </x:c>
      <x:c r="Q11" s="220" t="str">
        <x:v>保证治愈；每次都有效；零风险；无任何副作用</x:v>
      </x:c>
      <x:c r="R11" s="220" t="str"/>
      <x:c r="S11" s="220" t="str">
        <x:v>删除保证性和绝对安全表述，然后重新检测</x:v>
      </x:c>
      <x:c r="T11" s="220" t="str">
        <x:v>澳大利亚法规 · 美妆 · AUST L · 海报文字</x:v>
      </x:c>
      <x:c r="U11" s="220" t="str">
        <x:v>平台政策 · 非文字视觉声称 · 落地页</x:v>
      </x:c>
      <x:c r="V11" s="220" t="str">
        <x:v>AU-BEA-POSTER</x:v>
      </x:c>
      <x:c r="W11" s="220" t="str">
        <x:v>v1.0-demo</x:v>
      </x:c>
      <x:c r="X11" s="220" t="str">
        <x:v>海报将产品表述为保证治愈、始终有效且没有风险。</x:v>
      </x:c>
      <x:c r="Y11" s="220" t="str">
        <x:v>https://www.tga.gov.au/products/regulations-all-products/advertising/applying-advertising-code/general-requirements-advertising-therapeutic-goods-public</x:v>
      </x:c>
      <x:c r="Z11" s="220" t="str">
        <x:v>简单</x:v>
      </x:c>
      <x:c r="AA11" s="220" t="str">
        <x:v>发布前需修改,保证性声称,绝对安全</x:v>
      </x:c>
    </x:row>
    <x:row r="12" ht="72" customHeight="1">
      <x:c r="A12" s="220" t="str">
        <x:v>AU-ZH-008</x:v>
      </x:c>
      <x:c r="B12" s="220" t="str">
        <x:v>成分与质地描述，正常放行</x:v>
      </x:c>
      <x:c r="C12" s="220" t="str">
        <x:v>images/AU-ZH-008.png</x:v>
      </x:c>
      <x:c r="D12" s="220" t="str">
        <x:v>澳大利亚</x:v>
      </x:c>
      <x:c r="E12" s="220" t="str">
        <x:v>美妆</x:v>
      </x:c>
      <x:c r="F12" s="220" t="str">
        <x:v>面部保湿霜</x:v>
      </x:c>
      <x:c r="G12" s="220" t="str">
        <x:v>化妆品</x:v>
      </x:c>
      <x:c r="H12" s="220" t="str">
        <x:v>Instagram</x:v>
      </x:c>
      <x:c r="I12" s="220" t="str">
        <x:v>海报图片</x:v>
      </x:c>
      <x:c r="J12" s="220" t="str">
        <x:v>Canva 生成</x:v>
      </x:c>
      <x:c r="K12" s="221" t="b">
        <x:v>1</x:v>
      </x:c>
      <x:c r="L12" s="220" t="str">
        <x:v>无需提供</x:v>
      </x:c>
      <x:c r="M12" s="220" t="str">
        <x:v>轻盈日常保湿霜 | 含烟酰胺与维生素 E | 丝滑质地，清爽肤感 | NOVA SKIN</x:v>
      </x:c>
      <x:c r="N12" s="220" t="str">
        <x:v>可以发布</x:v>
      </x:c>
      <x:c r="O12" s="220" t="str">
        <x:v>海报渲染完成</x:v>
      </x:c>
      <x:c r="P12" s="220" t="str">
        <x:v>已检查，无需修改</x:v>
      </x:c>
      <x:c r="Q12" s="220" t="str"/>
      <x:c r="R12" s="220" t="str"/>
      <x:c r="S12" s="220" t="str">
        <x:v>允许下载、发布或继续</x:v>
      </x:c>
      <x:c r="T12" s="220" t="str">
        <x:v>澳大利亚法规 · 美妆 · 化妆品 · 海报文字</x:v>
      </x:c>
      <x:c r="U12" s="220" t="str">
        <x:v>平台政策 · 非文字视觉声称 · 落地页</x:v>
      </x:c>
      <x:c r="V12" s="220" t="str">
        <x:v>AU-BEA-POSTER</x:v>
      </x:c>
      <x:c r="W12" s="220" t="str">
        <x:v>v1.0-demo</x:v>
      </x:c>
      <x:c r="X12" s="220" t="str">
        <x:v>海报仅描述成分、质地和肤感，没有表达治疗效果。</x:v>
      </x:c>
      <x:c r="Y12" s="220" t="str">
        <x:v>https://www.tga.gov.au/resources/guidance/determining-if-your-product-cosmetic-or-therapeutic-good</x:v>
      </x:c>
      <x:c r="Z12" s="220" t="str">
        <x:v>简单</x:v>
      </x:c>
      <x:c r="AA12" s="220" t="str">
        <x:v>可以发布,成分描述,化妆品</x:v>
      </x:c>
    </x:row>
    <x:row r="13" ht="72" customHeight="1">
      <x:c r="A13" s="220" t="str">
        <x:v>AU-ZH-009</x:v>
      </x:c>
      <x:c r="B13" s="220" t="str">
        <x:v>国家不在当前知识包覆盖范围</x:v>
      </x:c>
      <x:c r="C13" s="220" t="str">
        <x:v>images/AU-ZH-009.png</x:v>
      </x:c>
      <x:c r="D13" s="220" t="str">
        <x:v>新西兰</x:v>
      </x:c>
      <x:c r="E13" s="220" t="str">
        <x:v>美妆</x:v>
      </x:c>
      <x:c r="F13" s="220" t="str">
        <x:v>面霜</x:v>
      </x:c>
      <x:c r="G13" s="220" t="str">
        <x:v>化妆品</x:v>
      </x:c>
      <x:c r="H13" s="220" t="str">
        <x:v>Instagram</x:v>
      </x:c>
      <x:c r="I13" s="220" t="str">
        <x:v>海报图片</x:v>
      </x:c>
      <x:c r="J13" s="220" t="str">
        <x:v>Canva 生成</x:v>
      </x:c>
      <x:c r="K13" s="221" t="b">
        <x:v>1</x:v>
      </x:c>
      <x:c r="L13" s="220" t="str">
        <x:v>未提供</x:v>
      </x:c>
      <x:c r="M13" s="220" t="str">
        <x:v>肌肤看起来更平滑 | 每日植物面霜 | 开启清新早晨 | KIWI BLOOM</x:v>
      </x:c>
      <x:c r="N13" s="220" t="str">
        <x:v>不在覆盖范围</x:v>
      </x:c>
      <x:c r="O13" s="220" t="str">
        <x:v>海报渲染完成</x:v>
      </x:c>
      <x:c r="P13" s="220" t="str">
        <x:v>缺少对应知识覆盖</x:v>
      </x:c>
      <x:c r="Q13" s="220" t="str"/>
      <x:c r="R13" s="220" t="str">
        <x:v>新西兰知识包</x:v>
      </x:c>
      <x:c r="S13" s="220" t="str">
        <x:v>展示覆盖限制，不得返回绿色结论</x:v>
      </x:c>
      <x:c r="T13" s="220" t="str">
        <x:v>已提取海报文字</x:v>
      </x:c>
      <x:c r="U13" s="220" t="str">
        <x:v>新西兰法规 · 平台政策 · 落地页</x:v>
      </x:c>
      <x:c r="V13" s="220" t="str">
        <x:v>无</x:v>
      </x:c>
      <x:c r="W13" s="220" t="str">
        <x:v>无</x:v>
      </x:c>
      <x:c r="X13" s="220" t="str">
        <x:v>当前 MVP 知识包仅覆盖澳大利亚，系统不得自行生成新西兰规则。</x:v>
      </x:c>
      <x:c r="Y13" s="220" t="str"/>
      <x:c r="Z13" s="220" t="str">
        <x:v>简单</x:v>
      </x:c>
      <x:c r="AA13" s="220" t="str">
        <x:v>不在覆盖范围,国家,知识覆盖</x:v>
      </x:c>
    </x:row>
    <x:row r="14" ht="72" customHeight="1">
      <x:c r="A14" s="220" t="str">
        <x:v>AU-ZH-010</x:v>
      </x:c>
      <x:c r="B14" s="220" t="str">
        <x:v>缺少国家 Context</x:v>
      </x:c>
      <x:c r="C14" s="220" t="str">
        <x:v>images/AU-ZH-010.png</x:v>
      </x:c>
      <x:c r="D14" s="220" t="str"/>
      <x:c r="E14" s="220" t="str">
        <x:v>美妆</x:v>
      </x:c>
      <x:c r="F14" s="220" t="str">
        <x:v>眼部精华</x:v>
      </x:c>
      <x:c r="G14" s="220" t="str">
        <x:v>化妆品</x:v>
      </x:c>
      <x:c r="H14" s="220" t="str">
        <x:v>Instagram</x:v>
      </x:c>
      <x:c r="I14" s="220" t="str">
        <x:v>海报图片</x:v>
      </x:c>
      <x:c r="J14" s="220" t="str">
        <x:v>Canva 生成</x:v>
      </x:c>
      <x:c r="K14" s="221" t="b">
        <x:v>1</x:v>
      </x:c>
      <x:c r="L14" s="220" t="str">
        <x:v>未提供</x:v>
      </x:c>
      <x:c r="M14" s="220" t="str">
        <x:v>3天可见效果 | 眼周看起来更加明亮 | 经皮肤科测试 | LUMINA 眼部精华</x:v>
      </x:c>
      <x:c r="N14" s="220" t="str">
        <x:v>需要你补充信息</x:v>
      </x:c>
      <x:c r="O14" s="220" t="str">
        <x:v>海报渲染完成</x:v>
      </x:c>
      <x:c r="P14" s="220" t="str">
        <x:v>Context 缺失</x:v>
      </x:c>
      <x:c r="Q14" s="220" t="str">
        <x:v>3天可见效果</x:v>
      </x:c>
      <x:c r="R14" s="220" t="str">
        <x:v>国家</x:v>
      </x:c>
      <x:c r="S14" s="220" t="str">
        <x:v>应用规则前询问用户确认国家</x:v>
      </x:c>
      <x:c r="T14" s="220" t="str">
        <x:v>已提取海报文字 · 美妆 · 化妆品</x:v>
      </x:c>
      <x:c r="U14" s="220" t="str">
        <x:v>国家法规 · 平台政策 · 落地页</x:v>
      </x:c>
      <x:c r="V14" s="220" t="str">
        <x:v>等待路由</x:v>
      </x:c>
      <x:c r="W14" s="220" t="str">
        <x:v>无</x:v>
      </x:c>
      <x:c r="X14" s="220" t="str">
        <x:v>国家是知识路由的必要字段，系统不应默认推断为澳大利亚。</x:v>
      </x:c>
      <x:c r="Y14" s="220" t="str"/>
      <x:c r="Z14" s="220" t="str">
        <x:v>中等</x:v>
      </x:c>
      <x:c r="AA14" s="220" t="str">
        <x:v>需要补充信息,Context缺失,国家</x:v>
      </x:c>
    </x:row>
    <x:row r="15" ht="72" customHeight="1">
      <x:c r="A15" s="220" t="str">
        <x:v>AU-ZH-011</x:v>
      </x:c>
      <x:c r="B15" s="220" t="str">
        <x:v>上传图片且 OCR 低置信</x:v>
      </x:c>
      <x:c r="C15" s="220" t="str">
        <x:v>images/AU-ZH-011.png</x:v>
      </x:c>
      <x:c r="D15" s="220" t="str">
        <x:v>澳大利亚</x:v>
      </x:c>
      <x:c r="E15" s="220" t="str">
        <x:v>美妆</x:v>
      </x:c>
      <x:c r="F15" s="220" t="str">
        <x:v>抗老面霜</x:v>
      </x:c>
      <x:c r="G15" s="220" t="str">
        <x:v>化妆品</x:v>
      </x:c>
      <x:c r="H15" s="220" t="str">
        <x:v>Instagram</x:v>
      </x:c>
      <x:c r="I15" s="220" t="str">
        <x:v>海报图片</x:v>
      </x:c>
      <x:c r="J15" s="220" t="str">
        <x:v>上传位图</x:v>
      </x:c>
      <x:c r="K15" s="221" t="b">
        <x:v>0</x:v>
      </x:c>
      <x:c r="L15" s="220" t="str">
        <x:v>未提供</x:v>
      </x:c>
      <x:c r="M15" s="220" t="str">
        <x:v>全新配方 | 日常面霜 | 3天淡化80%皱纹</x:v>
      </x:c>
      <x:c r="N15" s="220" t="str">
        <x:v>需要你补充信息</x:v>
      </x:c>
      <x:c r="O15" s="220" t="str">
        <x:v>图片上传完成</x:v>
      </x:c>
      <x:c r="P15" s="220" t="str">
        <x:v>OCR 置信度过低</x:v>
      </x:c>
      <x:c r="Q15" s="220" t="str">
        <x:v>低对比度页脚中可能存在功效声称</x:v>
      </x:c>
      <x:c r="R15" s="220" t="str">
        <x:v>确认或编辑系统提取出的海报文字</x:v>
      </x:c>
      <x:c r="S15" s="220" t="str">
        <x:v>展示 OCR 不确定性并请求确认文字</x:v>
      </x:c>
      <x:c r="T15" s="220" t="str">
        <x:v>仅检查高置信海报文字</x:v>
      </x:c>
      <x:c r="U15" s="220" t="str">
        <x:v>低置信页脚 · 平台政策 · 落地页</x:v>
      </x:c>
      <x:c r="V15" s="220" t="str">
        <x:v>AU-BEA-POSTER</x:v>
      </x:c>
      <x:c r="W15" s="220" t="str">
        <x:v>v1.0-demo</x:v>
      </x:c>
      <x:c r="X15" s="220" t="str">
        <x:v>上传位图没有文字图层，功效声称被设计为低对比度，系统不得静默忽略。</x:v>
      </x:c>
      <x:c r="Y15" s="220" t="str"/>
      <x:c r="Z15" s="220" t="str">
        <x:v>困难</x:v>
      </x:c>
      <x:c r="AA15" s="220" t="str">
        <x:v>需要补充信息,OCR,低置信</x:v>
      </x:c>
    </x:row>
    <x:row r="16" ht="72" customHeight="1">
      <x:c r="A16" s="222" t="str">
        <x:v>AU-ZH-012</x:v>
      </x:c>
      <x:c r="B16" s="222" t="str">
        <x:v>强制声明存在但不可读</x:v>
      </x:c>
      <x:c r="C16" s="222" t="str">
        <x:v>images/AU-ZH-012.png</x:v>
      </x:c>
      <x:c r="D16" s="222" t="str">
        <x:v>澳大利亚</x:v>
      </x:c>
      <x:c r="E16" s="222" t="str">
        <x:v>美妆</x:v>
      </x:c>
      <x:c r="F16" s="222" t="str">
        <x:v>美容营养补充剂</x:v>
      </x:c>
      <x:c r="G16" s="222" t="str">
        <x:v>AUST L 列名药品</x:v>
      </x:c>
      <x:c r="H16" s="222" t="str">
        <x:v>Instagram</x:v>
      </x:c>
      <x:c r="I16" s="222" t="str">
        <x:v>海报图片</x:v>
      </x:c>
      <x:c r="J16" s="222" t="str">
        <x:v>Canva 生成</x:v>
      </x:c>
      <x:c r="K16" s="223" t="b">
        <x:v>1</x:v>
      </x:c>
      <x:c r="L16" s="222" t="str">
        <x:v>已提供 ARTG 适应症</x:v>
      </x:c>
      <x:c r="M16" s="222" t="str">
        <x:v>帮助维持健康肌肤 | 每日美丽支持 | AUST L 567890 | 请务必阅读标签并遵循使用说明</x:v>
      </x:c>
      <x:c r="N16" s="222" t="str">
        <x:v>发布前需修改</x:v>
      </x:c>
      <x:c r="O16" s="222" t="str">
        <x:v>海报渲染完成</x:v>
      </x:c>
      <x:c r="P16" s="222" t="str">
        <x:v>强制声明不够醒目</x:v>
      </x:c>
      <x:c r="Q16" s="222" t="str">
        <x:v>请务必阅读标签并遵循使用说明</x:v>
      </x:c>
      <x:c r="R16" s="222" t="str"/>
      <x:c r="S16" s="222" t="str">
        <x:v>提高声明字号和对比度，然后重新检测</x:v>
      </x:c>
      <x:c r="T16" s="222" t="str">
        <x:v>澳大利亚法规 · 美妆 · AUST L · 海报文字</x:v>
      </x:c>
      <x:c r="U16" s="222" t="str">
        <x:v>平台政策 · 非文字视觉声称 · 落地页</x:v>
      </x:c>
      <x:c r="V16" s="222" t="str">
        <x:v>AU-BEA-POSTER</x:v>
      </x:c>
      <x:c r="W16" s="222" t="str">
        <x:v>v1.0-demo</x:v>
      </x:c>
      <x:c r="X16" s="222" t="str">
        <x:v>强制声明虽然存在，但被刻意设置得过小、过淡，不够醒目。</x:v>
      </x:c>
      <x:c r="Y16" s="222" t="str">
        <x:v>https://www.tga.gov.au/products/regulations-all-products/advertising/applying-advertising-code/mandatory-statements-and-other-information-required-advertising</x:v>
      </x:c>
      <x:c r="Z16" s="222" t="str">
        <x:v>困难</x:v>
      </x:c>
      <x:c r="AA16" s="222" t="str">
        <x:v>发布前需修改,可读性,强制声明</x:v>
      </x:c>
    </x:row>
  </x:sheetData>
  <x:mergeCells>
    <x:mergeCell ref="A1:AA1"/>
    <x:mergeCell ref="A2:AA2"/>
  </x:mergeCells>
  <x:conditionalFormatting sqref="N5:N16">
    <x:cfRule type="containsText" dxfId="0" priority="1" operator="containsText" text="可以发布"/>
    <x:cfRule type="containsText" dxfId="1" priority="2" operator="containsText" text="发布前需修改"/>
    <x:cfRule type="containsText" dxfId="2" priority="3" operator="containsText" text="需要你补充信息"/>
    <x:cfRule type="containsText" dxfId="3" priority="4" operator="containsText" text="不在覆盖范围"/>
  </x:conditionalFormatting>
  <x:pageMargins left="0.7" right="0.7" top="0.75" bottom="0.75" header="0.3" footer="0.3"/>
  <x:tableParts count="1">
    <x:tablePart xmlns:r="http://schemas.openxmlformats.org/officeDocument/2006/relationships" r:id="Re10915a4a1f94a1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1" hidden="0" customWidth="1"/>
    <x:col min="3" max="3" width="21" hidden="0" customWidth="1"/>
    <x:col min="4" max="4" width="12" hidden="0" customWidth="1"/>
    <x:col min="5" max="5" width="28" hidden="0" customWidth="1"/>
    <x:col min="6" max="6" width="28" hidden="0" customWidth="1"/>
    <x:col min="7" max="7" width="12" hidden="0" customWidth="1"/>
    <x:col min="8" max="8" width="42" hidden="0" customWidth="1"/>
    <x:col min="9" max="9" width="42" hidden="0" customWidth="1"/>
    <x:col min="10" max="10" width="12" hidden="0" customWidth="1"/>
    <x:col min="11" max="11" width="50" hidden="0" customWidth="1"/>
    <x:col min="12" max="12" width="14" hidden="0" customWidth="1"/>
    <x:col min="13" max="13" width="14" hidden="0" customWidth="1"/>
    <x:col min="14" max="14" width="30" hidden="0" customWidth="1"/>
    <x:col min="15" max="15" width="14" hidden="0" customWidth="1"/>
  </x:cols>
  <x:sheetData>
    <x:row r="1" ht="34" customHeight="1">
      <x:c r="A1" s="145" t="str">
        <x:v>模型评测结果</x:v>
      </x:c>
      <x:c r="B1" s="145"/>
      <x:c r="C1" s="145"/>
      <x:c r="D1" s="145"/>
      <x:c r="E1" s="145"/>
      <x:c r="F1" s="145"/>
      <x:c r="G1" s="145"/>
      <x:c r="H1" s="145"/>
      <x:c r="I1" s="145"/>
      <x:c r="J1" s="145"/>
      <x:c r="K1" s="145"/>
      <x:c r="L1" s="145"/>
      <x:c r="M1" s="145"/>
      <x:c r="N1" s="145"/>
      <x:c r="O1" s="145"/>
    </x:row>
    <x:row r="2" ht="27" customHeight="1">
      <x:c r="A2" s="146" t="str">
        <x:v>黄色列填写模型实际输出；状态、问题类型、下一步操作与 OCR 关键文本各占 25%。</x:v>
      </x:c>
      <x:c r="B2" s="146"/>
      <x:c r="C2" s="146"/>
      <x:c r="D2" s="146"/>
      <x:c r="E2" s="146"/>
      <x:c r="F2" s="146"/>
      <x:c r="G2" s="146"/>
      <x:c r="H2" s="146"/>
      <x:c r="I2" s="146"/>
      <x:c r="J2" s="146"/>
      <x:c r="K2" s="146"/>
      <x:c r="L2" s="146"/>
      <x:c r="M2" s="146"/>
      <x:c r="N2" s="146"/>
      <x:c r="O2" s="146"/>
    </x:row>
    <x:row r="3">
      <x:c r="A3" s="147"/>
      <x:c r="B3" s="147"/>
      <x:c r="C3" s="147"/>
      <x:c r="D3" s="147"/>
      <x:c r="E3" s="147"/>
      <x:c r="F3" s="147"/>
      <x:c r="G3" s="147"/>
      <x:c r="H3" s="147"/>
      <x:c r="I3" s="147"/>
      <x:c r="J3" s="147"/>
      <x:c r="K3" s="147"/>
      <x:c r="L3" s="147"/>
      <x:c r="M3" s="147"/>
      <x:c r="N3" s="147"/>
      <x:c r="O3" s="147"/>
    </x:row>
    <x:row r="4">
      <x:c r="A4" s="224" t="str">
        <x:v>用例编号</x:v>
      </x:c>
      <x:c r="B4" s="224" t="str">
        <x:v>预期状态</x:v>
      </x:c>
      <x:c r="C4" s="224" t="str">
        <x:v>实际状态</x:v>
      </x:c>
      <x:c r="D4" s="224" t="str">
        <x:v>状态得分</x:v>
      </x:c>
      <x:c r="E4" s="224" t="str">
        <x:v>预期问题类型</x:v>
      </x:c>
      <x:c r="F4" s="224" t="str">
        <x:v>实际问题类型</x:v>
      </x:c>
      <x:c r="G4" s="224" t="str">
        <x:v>问题得分</x:v>
      </x:c>
      <x:c r="H4" s="224" t="str">
        <x:v>预期下一步操作</x:v>
      </x:c>
      <x:c r="I4" s="224" t="str">
        <x:v>实际下一步操作</x:v>
      </x:c>
      <x:c r="J4" s="224" t="str">
        <x:v>操作得分</x:v>
      </x:c>
      <x:c r="K4" s="224" t="str">
        <x:v>实际提取文字</x:v>
      </x:c>
      <x:c r="L4" s="224" t="str">
        <x:v>OCR关键文本得分</x:v>
      </x:c>
      <x:c r="M4" s="224" t="str">
        <x:v>耗时（毫秒）</x:v>
      </x:c>
      <x:c r="N4" s="224" t="str">
        <x:v>错误备注</x:v>
      </x:c>
      <x:c r="O4" s="224" t="str">
        <x:v>整体通过</x:v>
      </x:c>
    </x:row>
    <x:row r="5" ht="58" customHeight="1">
      <x:c r="A5" s="225" t="str">
        <x:v>AU-ZH-001</x:v>
      </x:c>
      <x:c r="B5" s="225" t="str">
        <x:f>'测试用例'!N5</x:f>
        <x:v>可以发布</x:v>
      </x:c>
      <x:c r="C5" s="226"/>
      <x:c r="D5" s="227" t="str">
        <x:f>IF(C5="","",--(C5=B5))</x:f>
      </x:c>
      <x:c r="E5" s="225" t="str">
        <x:f>'测试用例'!P5</x:f>
        <x:v>已检查，无需修改</x:v>
      </x:c>
      <x:c r="F5" s="226"/>
      <x:c r="G5" s="227" t="str">
        <x:f>IF(F5="","",--(F5=E5))</x:f>
      </x:c>
      <x:c r="H5" s="225" t="str">
        <x:f>'测试用例'!S5</x:f>
        <x:v>允许下载、发布或继续</x:v>
      </x:c>
      <x:c r="I5" s="226"/>
      <x:c r="J5" s="227" t="str">
        <x:f>IF(I5="","",--(I5=H5))</x:f>
      </x:c>
      <x:c r="K5" s="226"/>
      <x:c r="L5" s="228"/>
      <x:c r="M5" s="226"/>
      <x:c r="N5" s="226"/>
      <x:c r="O5" s="227" t="str">
        <x:f>IF(COUNT(D5,G5,J5,L5)&lt;4,"",--(SUM(D5,G5,J5,L5)=4))</x:f>
      </x:c>
    </x:row>
    <x:row r="6" ht="58" customHeight="1">
      <x:c r="A6" s="225" t="str">
        <x:v>AU-ZH-002</x:v>
      </x:c>
      <x:c r="B6" s="225" t="str">
        <x:f>'测试用例'!N6</x:f>
        <x:v>发布前需修改</x:v>
      </x:c>
      <x:c r="C6" s="226"/>
      <x:c r="D6" s="227" t="str">
        <x:f>IF(C6="","",--(C6=B6))</x:f>
      </x:c>
      <x:c r="E6" s="225" t="str">
        <x:f>'测试用例'!P6</x:f>
        <x:v>缺少强制声明</x:v>
      </x:c>
      <x:c r="F6" s="226"/>
      <x:c r="G6" s="227" t="str">
        <x:f>IF(F6="","",--(F6=E6))</x:f>
      </x:c>
      <x:c r="H6" s="225" t="str">
        <x:f>'测试用例'!S6</x:f>
        <x:v>补充阅读标签和遵循使用说明的声明，然后重新检测</x:v>
      </x:c>
      <x:c r="I6" s="226"/>
      <x:c r="J6" s="227" t="str">
        <x:f>IF(I6="","",--(I6=H6))</x:f>
      </x:c>
      <x:c r="K6" s="226"/>
      <x:c r="L6" s="228"/>
      <x:c r="M6" s="226"/>
      <x:c r="N6" s="226"/>
      <x:c r="O6" s="227" t="str">
        <x:f>IF(COUNT(D6,G6,J6,L6)&lt;4,"",--(SUM(D6,G6,J6,L6)=4))</x:f>
      </x:c>
    </x:row>
    <x:row r="7" ht="58" customHeight="1">
      <x:c r="A7" s="225" t="str">
        <x:v>AU-ZH-003</x:v>
      </x:c>
      <x:c r="B7" s="225" t="str">
        <x:f>'测试用例'!N7</x:f>
        <x:v>可以发布</x:v>
      </x:c>
      <x:c r="C7" s="226"/>
      <x:c r="D7" s="227" t="str">
        <x:f>IF(C7="","",--(C7=B7))</x:f>
      </x:c>
      <x:c r="E7" s="225" t="str">
        <x:f>'测试用例'!P7</x:f>
        <x:v>已检查，无需修改</x:v>
      </x:c>
      <x:c r="F7" s="226"/>
      <x:c r="G7" s="227" t="str">
        <x:f>IF(F7="","",--(F7=E7))</x:f>
      </x:c>
      <x:c r="H7" s="225" t="str">
        <x:f>'测试用例'!S7</x:f>
        <x:v>允许下载、发布或继续</x:v>
      </x:c>
      <x:c r="I7" s="226"/>
      <x:c r="J7" s="227" t="str">
        <x:f>IF(I7="","",--(I7=H7))</x:f>
      </x:c>
      <x:c r="K7" s="226"/>
      <x:c r="L7" s="228"/>
      <x:c r="M7" s="226"/>
      <x:c r="N7" s="226"/>
      <x:c r="O7" s="227" t="str">
        <x:f>IF(COUNT(D7,G7,J7,L7)&lt;4,"",--(SUM(D7,G7,J7,L7)=4))</x:f>
      </x:c>
    </x:row>
    <x:row r="8" ht="58" customHeight="1">
      <x:c r="A8" s="225" t="str">
        <x:v>AU-ZH-004</x:v>
      </x:c>
      <x:c r="B8" s="225" t="str">
        <x:f>'测试用例'!N8</x:f>
        <x:v>需要你补充信息</x:v>
      </x:c>
      <x:c r="C8" s="226"/>
      <x:c r="D8" s="227" t="str">
        <x:f>IF(C8="","",--(C8=B8))</x:f>
      </x:c>
      <x:c r="E8" s="225" t="str">
        <x:f>'测试用例'!P8</x:f>
        <x:v>需要确认产品监管身份</x:v>
      </x:c>
      <x:c r="F8" s="226"/>
      <x:c r="G8" s="227" t="str">
        <x:f>IF(F8="","",--(F8=E8))</x:f>
      </x:c>
      <x:c r="H8" s="225" t="str">
        <x:f>'测试用例'!S8</x:f>
        <x:v>询问产品监管身份和 supporting evidence</x:v>
      </x:c>
      <x:c r="I8" s="226"/>
      <x:c r="J8" s="227" t="str">
        <x:f>IF(I8="","",--(I8=H8))</x:f>
      </x:c>
      <x:c r="K8" s="226"/>
      <x:c r="L8" s="228"/>
      <x:c r="M8" s="226"/>
      <x:c r="N8" s="226"/>
      <x:c r="O8" s="227" t="str">
        <x:f>IF(COUNT(D8,G8,J8,L8)&lt;4,"",--(SUM(D8,G8,J8,L8)=4))</x:f>
      </x:c>
    </x:row>
    <x:row r="9" ht="58" customHeight="1">
      <x:c r="A9" s="225" t="str">
        <x:v>AU-ZH-005</x:v>
      </x:c>
      <x:c r="B9" s="225" t="str">
        <x:f>'测试用例'!N9</x:f>
        <x:v>需要你补充信息</x:v>
      </x:c>
      <x:c r="C9" s="226"/>
      <x:c r="D9" s="227" t="str">
        <x:f>IF(C9="","",--(C9=B9))</x:f>
      </x:c>
      <x:c r="E9" s="225" t="str">
        <x:f>'测试用例'!P9</x:f>
        <x:v>需要 supporting evidence</x:v>
      </x:c>
      <x:c r="F9" s="226"/>
      <x:c r="G9" s="227" t="str">
        <x:f>IF(F9="","",--(F9=E9))</x:f>
      </x:c>
      <x:c r="H9" s="225" t="str">
        <x:f>'测试用例'!S9</x:f>
        <x:v>上传 supporting evidence，或删除该声称</x:v>
      </x:c>
      <x:c r="I9" s="226"/>
      <x:c r="J9" s="227" t="str">
        <x:f>IF(I9="","",--(I9=H9))</x:f>
      </x:c>
      <x:c r="K9" s="226"/>
      <x:c r="L9" s="228"/>
      <x:c r="M9" s="226"/>
      <x:c r="N9" s="226"/>
      <x:c r="O9" s="227" t="str">
        <x:f>IF(COUNT(D9,G9,J9,L9)&lt;4,"",--(SUM(D9,G9,J9,L9)=4))</x:f>
      </x:c>
    </x:row>
    <x:row r="10" ht="58" customHeight="1">
      <x:c r="A10" s="225" t="str">
        <x:v>AU-ZH-006</x:v>
      </x:c>
      <x:c r="B10" s="225" t="str">
        <x:f>'测试用例'!N10</x:f>
        <x:v>发布前需修改</x:v>
      </x:c>
      <x:c r="C10" s="226"/>
      <x:c r="D10" s="227" t="str">
        <x:f>IF(C10="","",--(C10=B10))</x:f>
      </x:c>
      <x:c r="E10" s="225" t="str">
        <x:f>'测试用例'!P10</x:f>
        <x:v>监管边界触发</x:v>
      </x:c>
      <x:c r="F10" s="226"/>
      <x:c r="G10" s="227" t="str">
        <x:f>IF(F10="","",--(F10=E10))</x:f>
      </x:c>
      <x:c r="H10" s="225" t="str">
        <x:f>'测试用例'!S10</x:f>
        <x:v>删除治疗型表述，或重新分类后检测</x:v>
      </x:c>
      <x:c r="I10" s="226"/>
      <x:c r="J10" s="227" t="str">
        <x:f>IF(I10="","",--(I10=H10))</x:f>
      </x:c>
      <x:c r="K10" s="226"/>
      <x:c r="L10" s="228"/>
      <x:c r="M10" s="226"/>
      <x:c r="N10" s="226"/>
      <x:c r="O10" s="227" t="str">
        <x:f>IF(COUNT(D10,G10,J10,L10)&lt;4,"",--(SUM(D10,G10,J10,L10)=4))</x:f>
      </x:c>
    </x:row>
    <x:row r="11" ht="58" customHeight="1">
      <x:c r="A11" s="225" t="str">
        <x:v>AU-ZH-007</x:v>
      </x:c>
      <x:c r="B11" s="225" t="str">
        <x:f>'测试用例'!N11</x:f>
        <x:v>发布前需修改</x:v>
      </x:c>
      <x:c r="C11" s="226"/>
      <x:c r="D11" s="227" t="str">
        <x:f>IF(C11="","",--(C11=B11))</x:f>
      </x:c>
      <x:c r="E11" s="225" t="str">
        <x:f>'测试用例'!P11</x:f>
        <x:v>绝对化或禁止性表述</x:v>
      </x:c>
      <x:c r="F11" s="226"/>
      <x:c r="G11" s="227" t="str">
        <x:f>IF(F11="","",--(F11=E11))</x:f>
      </x:c>
      <x:c r="H11" s="225" t="str">
        <x:f>'测试用例'!S11</x:f>
        <x:v>删除保证性和绝对安全表述，然后重新检测</x:v>
      </x:c>
      <x:c r="I11" s="226"/>
      <x:c r="J11" s="227" t="str">
        <x:f>IF(I11="","",--(I11=H11))</x:f>
      </x:c>
      <x:c r="K11" s="226"/>
      <x:c r="L11" s="228"/>
      <x:c r="M11" s="226"/>
      <x:c r="N11" s="226"/>
      <x:c r="O11" s="227" t="str">
        <x:f>IF(COUNT(D11,G11,J11,L11)&lt;4,"",--(SUM(D11,G11,J11,L11)=4))</x:f>
      </x:c>
    </x:row>
    <x:row r="12" ht="58" customHeight="1">
      <x:c r="A12" s="225" t="str">
        <x:v>AU-ZH-008</x:v>
      </x:c>
      <x:c r="B12" s="225" t="str">
        <x:f>'测试用例'!N12</x:f>
        <x:v>可以发布</x:v>
      </x:c>
      <x:c r="C12" s="226"/>
      <x:c r="D12" s="227" t="str">
        <x:f>IF(C12="","",--(C12=B12))</x:f>
      </x:c>
      <x:c r="E12" s="225" t="str">
        <x:f>'测试用例'!P12</x:f>
        <x:v>已检查，无需修改</x:v>
      </x:c>
      <x:c r="F12" s="226"/>
      <x:c r="G12" s="227" t="str">
        <x:f>IF(F12="","",--(F12=E12))</x:f>
      </x:c>
      <x:c r="H12" s="225" t="str">
        <x:f>'测试用例'!S12</x:f>
        <x:v>允许下载、发布或继续</x:v>
      </x:c>
      <x:c r="I12" s="226"/>
      <x:c r="J12" s="227" t="str">
        <x:f>IF(I12="","",--(I12=H12))</x:f>
      </x:c>
      <x:c r="K12" s="226"/>
      <x:c r="L12" s="228"/>
      <x:c r="M12" s="226"/>
      <x:c r="N12" s="226"/>
      <x:c r="O12" s="227" t="str">
        <x:f>IF(COUNT(D12,G12,J12,L12)&lt;4,"",--(SUM(D12,G12,J12,L12)=4))</x:f>
      </x:c>
    </x:row>
    <x:row r="13" ht="58" customHeight="1">
      <x:c r="A13" s="225" t="str">
        <x:v>AU-ZH-009</x:v>
      </x:c>
      <x:c r="B13" s="225" t="str">
        <x:f>'测试用例'!N13</x:f>
        <x:v>不在覆盖范围</x:v>
      </x:c>
      <x:c r="C13" s="226"/>
      <x:c r="D13" s="227" t="str">
        <x:f>IF(C13="","",--(C13=B13))</x:f>
      </x:c>
      <x:c r="E13" s="225" t="str">
        <x:f>'测试用例'!P13</x:f>
        <x:v>缺少对应知识覆盖</x:v>
      </x:c>
      <x:c r="F13" s="226"/>
      <x:c r="G13" s="227" t="str">
        <x:f>IF(F13="","",--(F13=E13))</x:f>
      </x:c>
      <x:c r="H13" s="225" t="str">
        <x:f>'测试用例'!S13</x:f>
        <x:v>展示覆盖限制，不得返回绿色结论</x:v>
      </x:c>
      <x:c r="I13" s="226"/>
      <x:c r="J13" s="227" t="str">
        <x:f>IF(I13="","",--(I13=H13))</x:f>
      </x:c>
      <x:c r="K13" s="226"/>
      <x:c r="L13" s="228"/>
      <x:c r="M13" s="226"/>
      <x:c r="N13" s="226"/>
      <x:c r="O13" s="227" t="str">
        <x:f>IF(COUNT(D13,G13,J13,L13)&lt;4,"",--(SUM(D13,G13,J13,L13)=4))</x:f>
      </x:c>
    </x:row>
    <x:row r="14" ht="58" customHeight="1">
      <x:c r="A14" s="225" t="str">
        <x:v>AU-ZH-010</x:v>
      </x:c>
      <x:c r="B14" s="225" t="str">
        <x:f>'测试用例'!N14</x:f>
        <x:v>需要你补充信息</x:v>
      </x:c>
      <x:c r="C14" s="226"/>
      <x:c r="D14" s="227" t="str">
        <x:f>IF(C14="","",--(C14=B14))</x:f>
      </x:c>
      <x:c r="E14" s="225" t="str">
        <x:f>'测试用例'!P14</x:f>
        <x:v>Context 缺失</x:v>
      </x:c>
      <x:c r="F14" s="226"/>
      <x:c r="G14" s="227" t="str">
        <x:f>IF(F14="","",--(F14=E14))</x:f>
      </x:c>
      <x:c r="H14" s="225" t="str">
        <x:f>'测试用例'!S14</x:f>
        <x:v>应用规则前询问用户确认国家</x:v>
      </x:c>
      <x:c r="I14" s="226"/>
      <x:c r="J14" s="227" t="str">
        <x:f>IF(I14="","",--(I14=H14))</x:f>
      </x:c>
      <x:c r="K14" s="226"/>
      <x:c r="L14" s="228"/>
      <x:c r="M14" s="226"/>
      <x:c r="N14" s="226"/>
      <x:c r="O14" s="227" t="str">
        <x:f>IF(COUNT(D14,G14,J14,L14)&lt;4,"",--(SUM(D14,G14,J14,L14)=4))</x:f>
      </x:c>
    </x:row>
    <x:row r="15" ht="58" customHeight="1">
      <x:c r="A15" s="225" t="str">
        <x:v>AU-ZH-011</x:v>
      </x:c>
      <x:c r="B15" s="225" t="str">
        <x:f>'测试用例'!N15</x:f>
        <x:v>需要你补充信息</x:v>
      </x:c>
      <x:c r="C15" s="226"/>
      <x:c r="D15" s="227" t="str">
        <x:f>IF(C15="","",--(C15=B15))</x:f>
      </x:c>
      <x:c r="E15" s="225" t="str">
        <x:f>'测试用例'!P15</x:f>
        <x:v>OCR 置信度过低</x:v>
      </x:c>
      <x:c r="F15" s="226"/>
      <x:c r="G15" s="227" t="str">
        <x:f>IF(F15="","",--(F15=E15))</x:f>
      </x:c>
      <x:c r="H15" s="225" t="str">
        <x:f>'测试用例'!S15</x:f>
        <x:v>展示 OCR 不确定性并请求确认文字</x:v>
      </x:c>
      <x:c r="I15" s="226"/>
      <x:c r="J15" s="227" t="str">
        <x:f>IF(I15="","",--(I15=H15))</x:f>
      </x:c>
      <x:c r="K15" s="226"/>
      <x:c r="L15" s="228"/>
      <x:c r="M15" s="226"/>
      <x:c r="N15" s="226"/>
      <x:c r="O15" s="227" t="str">
        <x:f>IF(COUNT(D15,G15,J15,L15)&lt;4,"",--(SUM(D15,G15,J15,L15)=4))</x:f>
      </x:c>
    </x:row>
    <x:row r="16" ht="58" customHeight="1">
      <x:c r="A16" s="225" t="str">
        <x:v>AU-ZH-012</x:v>
      </x:c>
      <x:c r="B16" s="225" t="str">
        <x:f>'测试用例'!N16</x:f>
        <x:v>发布前需修改</x:v>
      </x:c>
      <x:c r="C16" s="226"/>
      <x:c r="D16" s="227" t="str">
        <x:f>IF(C16="","",--(C16=B16))</x:f>
      </x:c>
      <x:c r="E16" s="225" t="str">
        <x:f>'测试用例'!P16</x:f>
        <x:v>强制声明不够醒目</x:v>
      </x:c>
      <x:c r="F16" s="226"/>
      <x:c r="G16" s="227" t="str">
        <x:f>IF(F16="","",--(F16=E16))</x:f>
      </x:c>
      <x:c r="H16" s="225" t="str">
        <x:f>'测试用例'!S16</x:f>
        <x:v>提高声明字号和对比度，然后重新检测</x:v>
      </x:c>
      <x:c r="I16" s="226"/>
      <x:c r="J16" s="227" t="str">
        <x:f>IF(I16="","",--(I16=H16))</x:f>
      </x:c>
      <x:c r="K16" s="226"/>
      <x:c r="L16" s="228"/>
      <x:c r="M16" s="226"/>
      <x:c r="N16" s="226"/>
      <x:c r="O16" s="227" t="str">
        <x:f>IF(COUNT(D16,G16,J16,L16)&lt;4,"",--(SUM(D16,G16,J16,L16)=4))</x:f>
      </x:c>
    </x:row>
  </x:sheetData>
  <x:mergeCells>
    <x:mergeCell ref="A1:O1"/>
    <x:mergeCell ref="A2:O2"/>
  </x:mergeCells>
  <x:conditionalFormatting sqref="O5:O16">
    <x:cfRule type="cellIs" dxfId="4" priority="1" operator="equal">
      <x:formula>1</x:formula>
    </x:cfRule>
    <x:cfRule type="cellIs" dxfId="5" priority="2" operator="equal">
      <x:formula>0</x:formula>
    </x:cfRule>
  </x:conditionalFormatting>
  <x:dataValidations count="2">
    <x:dataValidation type="list" sqref="C5:C16">
      <x:formula1>"可以发布,发布前需修改,需要你补充信息,不在覆盖范围"</x:formula1>
    </x:dataValidation>
    <x:dataValidation type="list" sqref="L5:L16">
      <x:formula1>"0,1"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e17b3009e645a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8" hidden="0" customWidth="1"/>
    <x:col min="3" max="3" width="22" hidden="0" customWidth="1"/>
    <x:col min="4" max="4" width="24" hidden="0" customWidth="1"/>
    <x:col min="5" max="5" width="60" hidden="0" customWidth="1"/>
    <x:col min="6" max="6" width="12" hidden="0" customWidth="1"/>
  </x:cols>
  <x:sheetData>
    <x:row r="1" ht="34" customHeight="1">
      <x:c r="A1" s="145" t="str">
        <x:v>中文测试海报索引</x:v>
      </x:c>
      <x:c r="B1" s="145"/>
      <x:c r="C1" s="145"/>
      <x:c r="D1" s="145"/>
      <x:c r="E1" s="145"/>
      <x:c r="F1" s="145"/>
    </x:row>
    <x:row r="2" ht="27" customHeight="1">
      <x:c r="A2" s="146" t="str">
        <x:v>原图位于 images/AU-ZH-xxx.png；poster_contact_sheet.png 提供 12 张海报总览。</x:v>
      </x:c>
      <x:c r="B2" s="146"/>
      <x:c r="C2" s="146"/>
      <x:c r="D2" s="146"/>
      <x:c r="E2" s="146"/>
      <x:c r="F2" s="146"/>
    </x:row>
    <x:row r="3">
      <x:c r="A3" s="147"/>
      <x:c r="B3" s="147"/>
      <x:c r="C3" s="147"/>
      <x:c r="D3" s="147"/>
      <x:c r="E3" s="147"/>
      <x:c r="F3" s="147"/>
    </x:row>
    <x:row r="4">
      <x:c r="A4" s="229" t="str">
        <x:v>用例编号</x:v>
      </x:c>
      <x:c r="B4" s="229" t="str">
        <x:v>用例名称</x:v>
      </x:c>
      <x:c r="C4" s="229" t="str">
        <x:v>预期状态</x:v>
      </x:c>
      <x:c r="D4" s="229" t="str">
        <x:v>图片文件</x:v>
      </x:c>
      <x:c r="E4" s="229" t="str">
        <x:v>海报可见文字标准答案</x:v>
      </x:c>
      <x:c r="F4" s="229" t="str">
        <x:v>难度</x:v>
      </x:c>
    </x:row>
    <x:row r="5" ht="52" customHeight="1">
      <x:c r="A5" s="230" t="str">
        <x:v>AU-ZH-001</x:v>
      </x:c>
      <x:c r="B5" s="230" t="str">
        <x:v>团队偏好表达，正常放行</x:v>
      </x:c>
      <x:c r="C5" s="230" t="str">
        <x:v>可以发布</x:v>
      </x:c>
      <x:c r="D5" s="230" t="str">
        <x:v>images/AU-ZH-001.png</x:v>
      </x:c>
      <x:c r="E5" s="230" t="str">
        <x:v>我们团队最爱的配方 | 含烟酰胺与维生素 E | 温和呵护，适合日常使用 | LUMEA 日常保湿霜</x:v>
      </x:c>
      <x:c r="F5" s="230" t="str">
        <x:v>简单</x:v>
      </x:c>
    </x:row>
    <x:row r="6" ht="52" customHeight="1">
      <x:c r="A6" s="230" t="str">
        <x:v>AU-ZH-002</x:v>
      </x:c>
      <x:c r="B6" s="230" t="str">
        <x:v>AUST L 缺少强制声明</x:v>
      </x:c>
      <x:c r="C6" s="230" t="str">
        <x:v>发布前需修改</x:v>
      </x:c>
      <x:c r="D6" s="230" t="str">
        <x:v>images/AU-ZH-002.png</x:v>
      </x:c>
      <x:c r="E6" s="230" t="str">
        <x:v>帮助维持免疫健康 | 每日健康支持 | AUST L 345678 | VITAGLOW 免疫支持</x:v>
      </x:c>
      <x:c r="F6" s="230" t="str">
        <x:v>中等</x:v>
      </x:c>
    </x:row>
    <x:row r="7" ht="52" customHeight="1">
      <x:c r="A7" s="230" t="str">
        <x:v>AU-ZH-003</x:v>
      </x:c>
      <x:c r="B7" s="230" t="str">
        <x:v>AUST L 强制声明齐全</x:v>
      </x:c>
      <x:c r="C7" s="230" t="str">
        <x:v>可以发布</x:v>
      </x:c>
      <x:c r="D7" s="230" t="str">
        <x:v>images/AU-ZH-003.png</x:v>
      </x:c>
      <x:c r="E7" s="230" t="str">
        <x:v>帮助维持免疫健康 | 每日健康支持 | AUST L 345678 | 请务必阅读标签并遵循使用说明</x:v>
      </x:c>
      <x:c r="F7" s="230" t="str">
        <x:v>中等</x:v>
      </x:c>
    </x:row>
    <x:row r="8" ht="52" customHeight="1">
      <x:c r="A8" s="230" t="str">
        <x:v>AU-ZH-004</x:v>
      </x:c>
      <x:c r="B8" s="230" t="str">
        <x:v>监管身份不确定且含功效声称</x:v>
      </x:c>
      <x:c r="C8" s="230" t="str">
        <x:v>需要你补充信息</x:v>
      </x:c>
      <x:c r="D8" s="230" t="str">
        <x:v>images/AU-ZH-004.png</x:v>
      </x:c>
      <x:c r="E8" s="230" t="str">
        <x:v>7天修护受损肌肤 | 临床验证配方 | 由内焕新肌肤 | DERMA 焕新精华</x:v>
      </x:c>
      <x:c r="F8" s="230" t="str">
        <x:v>困难</x:v>
      </x:c>
    </x:row>
    <x:row r="9" ht="52" customHeight="1">
      <x:c r="A9" s="230" t="str">
        <x:v>AU-ZH-005</x:v>
      </x:c>
      <x:c r="B9" s="230" t="str">
        <x:v>临床数据声称但未提供证据</x:v>
      </x:c>
      <x:c r="C9" s="230" t="str">
        <x:v>需要你补充信息</x:v>
      </x:c>
      <x:c r="D9" s="230" t="str">
        <x:v>images/AU-ZH-005.png</x:v>
      </x:c>
      <x:c r="E9" s="230" t="str">
        <x:v>保湿度提升42% | 一次使用后经临床验证 | 透明质酸配方 | AQUA BOOST 保湿精华</x:v>
      </x:c>
      <x:c r="F9" s="230" t="str">
        <x:v>中等</x:v>
      </x:c>
    </x:row>
    <x:row r="10" ht="52" customHeight="1">
      <x:c r="A10" s="230" t="str">
        <x:v>AU-ZH-006</x:v>
      </x:c>
      <x:c r="B10" s="230" t="str">
        <x:v>化妆品出现治疗型声称</x:v>
      </x:c>
      <x:c r="C10" s="230" t="str">
        <x:v>发布前需修改</x:v>
      </x:c>
      <x:c r="D10" s="230" t="str">
        <x:v>images/AU-ZH-006.png</x:v>
      </x:c>
      <x:c r="E10" s="230" t="str">
        <x:v>治疗湿疹 | 在细胞层面修复受损肌肤 | 快速缓解炎症 | CALM SKIN 身体乳</x:v>
      </x:c>
      <x:c r="F10" s="230" t="str">
        <x:v>简单</x:v>
      </x:c>
    </x:row>
    <x:row r="11" ht="52" customHeight="1">
      <x:c r="A11" s="230" t="str">
        <x:v>AU-ZH-007</x:v>
      </x:c>
      <x:c r="B11" s="230" t="str">
        <x:v>保证治愈与绝对功效</x:v>
      </x:c>
      <x:c r="C11" s="230" t="str">
        <x:v>发布前需修改</x:v>
      </x:c>
      <x:c r="D11" s="230" t="str">
        <x:v>images/AU-ZH-007.png</x:v>
      </x:c>
      <x:c r="E11" s="230" t="str">
        <x:v>保证治愈 | 每次都有效 | 零风险，无任何副作用 | AUST L 456789</x:v>
      </x:c>
      <x:c r="F11" s="230" t="str">
        <x:v>简单</x:v>
      </x:c>
    </x:row>
    <x:row r="12" ht="52" customHeight="1">
      <x:c r="A12" s="230" t="str">
        <x:v>AU-ZH-008</x:v>
      </x:c>
      <x:c r="B12" s="230" t="str">
        <x:v>成分与质地描述，正常放行</x:v>
      </x:c>
      <x:c r="C12" s="230" t="str">
        <x:v>可以发布</x:v>
      </x:c>
      <x:c r="D12" s="230" t="str">
        <x:v>images/AU-ZH-008.png</x:v>
      </x:c>
      <x:c r="E12" s="230" t="str">
        <x:v>轻盈日常保湿霜 | 含烟酰胺与维生素 E | 丝滑质地，清爽肤感 | NOVA SKIN</x:v>
      </x:c>
      <x:c r="F12" s="230" t="str">
        <x:v>简单</x:v>
      </x:c>
    </x:row>
    <x:row r="13" ht="52" customHeight="1">
      <x:c r="A13" s="230" t="str">
        <x:v>AU-ZH-009</x:v>
      </x:c>
      <x:c r="B13" s="230" t="str">
        <x:v>国家不在当前知识包覆盖范围</x:v>
      </x:c>
      <x:c r="C13" s="230" t="str">
        <x:v>不在覆盖范围</x:v>
      </x:c>
      <x:c r="D13" s="230" t="str">
        <x:v>images/AU-ZH-009.png</x:v>
      </x:c>
      <x:c r="E13" s="230" t="str">
        <x:v>肌肤看起来更平滑 | 每日植物面霜 | 开启清新早晨 | KIWI BLOOM</x:v>
      </x:c>
      <x:c r="F13" s="230" t="str">
        <x:v>简单</x:v>
      </x:c>
    </x:row>
    <x:row r="14" ht="52" customHeight="1">
      <x:c r="A14" s="230" t="str">
        <x:v>AU-ZH-010</x:v>
      </x:c>
      <x:c r="B14" s="230" t="str">
        <x:v>缺少国家 Context</x:v>
      </x:c>
      <x:c r="C14" s="230" t="str">
        <x:v>需要你补充信息</x:v>
      </x:c>
      <x:c r="D14" s="230" t="str">
        <x:v>images/AU-ZH-010.png</x:v>
      </x:c>
      <x:c r="E14" s="230" t="str">
        <x:v>3天可见效果 | 眼周看起来更加明亮 | 经皮肤科测试 | LUMINA 眼部精华</x:v>
      </x:c>
      <x:c r="F14" s="230" t="str">
        <x:v>中等</x:v>
      </x:c>
    </x:row>
    <x:row r="15" ht="52" customHeight="1">
      <x:c r="A15" s="230" t="str">
        <x:v>AU-ZH-011</x:v>
      </x:c>
      <x:c r="B15" s="230" t="str">
        <x:v>上传图片且 OCR 低置信</x:v>
      </x:c>
      <x:c r="C15" s="230" t="str">
        <x:v>需要你补充信息</x:v>
      </x:c>
      <x:c r="D15" s="230" t="str">
        <x:v>images/AU-ZH-011.png</x:v>
      </x:c>
      <x:c r="E15" s="230" t="str">
        <x:v>全新配方 | 日常面霜 | 3天淡化80%皱纹</x:v>
      </x:c>
      <x:c r="F15" s="230" t="str">
        <x:v>困难</x:v>
      </x:c>
    </x:row>
    <x:row r="16" ht="52" customHeight="1">
      <x:c r="A16" s="230" t="str">
        <x:v>AU-ZH-012</x:v>
      </x:c>
      <x:c r="B16" s="230" t="str">
        <x:v>强制声明存在但不可读</x:v>
      </x:c>
      <x:c r="C16" s="230" t="str">
        <x:v>发布前需修改</x:v>
      </x:c>
      <x:c r="D16" s="230" t="str">
        <x:v>images/AU-ZH-012.png</x:v>
      </x:c>
      <x:c r="E16" s="230" t="str">
        <x:v>帮助维持健康肌肤 | 每日美丽支持 | AUST L 567890 | 请务必阅读标签并遵循使用说明</x:v>
      </x:c>
      <x:c r="F16" s="230" t="str">
        <x:v>困难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d9b16fe6e0c4918"/>
  </x:tableParts>
</x:worksheet>
</file>