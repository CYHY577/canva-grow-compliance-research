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4d9ff36fc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65a931de207d4675"/>
    <x:sheet xmlns:r="http://schemas.openxmlformats.org/officeDocument/2006/relationships" name="测试用例" sheetId="2" r:id="R1f66b8be86d04ae3"/>
    <x:sheet xmlns:r="http://schemas.openxmlformats.org/officeDocument/2006/relationships" name="评测结果" sheetId="3" r:id="Ra7eac1326d574449"/>
    <x:sheet xmlns:r="http://schemas.openxmlformats.org/officeDocument/2006/relationships" name="海报索引" sheetId="4" r:id="R018c796c2b37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2">
    <x:font>
      <x:sz val="11"/>
      <x:name val="Carlito"/>
    </x:font>
    <x:font>
      <x:b/>
      <x:sz val="18"/>
      <x:color rgb="FFFFFFFF"/>
      <x:name val="Carlito"/>
    </x:font>
    <x:font>
      <x:sz val="10"/>
      <x:color rgb="FF5E6472"/>
      <x:name val="Carlito"/>
    </x:font>
    <x:font>
      <x:b/>
      <x:sz val="11"/>
      <x:color rgb="FF0E1B3D"/>
      <x:name val="Carlito"/>
    </x:font>
    <x:font>
      <x:b/>
      <x:sz val="11"/>
      <x:color rgb="FF18864B"/>
      <x:name val="Carlito"/>
    </x:font>
    <x:font>
      <x:b/>
      <x:sz val="11"/>
      <x:color rgb="FFC53A2A"/>
      <x:name val="Carlito"/>
    </x:font>
    <x:font>
      <x:b/>
      <x:sz val="11"/>
      <x:color rgb="FFA66A00"/>
      <x:name val="Carlito"/>
    </x:font>
    <x:font>
      <x:b/>
      <x:sz val="11"/>
      <x:color rgb="FF5E6472"/>
      <x:name val="Carlito"/>
    </x:font>
    <x:font>
      <x:b/>
      <x:sz val="22"/>
      <x:color rgb="FF18864B"/>
      <x:name val="Carlito"/>
    </x:font>
    <x:font>
      <x:b/>
      <x:sz val="22"/>
      <x:color rgb="FFC53A2A"/>
      <x:name val="Carlito"/>
    </x:font>
    <x:font>
      <x:b/>
      <x:sz val="22"/>
      <x:color rgb="FFA66A00"/>
      <x:name val="Carlito"/>
    </x:font>
    <x:font>
      <x:b/>
      <x:sz val="22"/>
      <x:color rgb="FF5E6472"/>
      <x:name val="Carlito"/>
    </x:font>
    <x:font>
      <x:b/>
      <x:sz val="11"/>
      <x:color rgb="FFFFFFFF"/>
      <x:name val="Carlito"/>
    </x:font>
    <x:font>
      <x:b/>
      <x:sz val="11"/>
      <x:color rgb="FF7D2AE8"/>
      <x:name val="Carlito"/>
    </x:font>
    <x:font>
      <x:b/>
      <x:sz val="18"/>
      <x:color rgb="FFFFFFFF"/>
      <x:name val="Aptos"/>
    </x:font>
    <x:font>
      <x:sz val="10"/>
      <x:color rgb="FF5E6472"/>
      <x:name val="Aptos"/>
    </x:font>
    <x:font>
      <x:sz val="11"/>
      <x:name val="Aptos"/>
    </x:font>
    <x:font>
      <x:b/>
      <x:sz val="11"/>
      <x:color rgb="FF0E1B3D"/>
      <x:name val="Aptos"/>
    </x:font>
    <x:font>
      <x:b/>
      <x:sz val="11"/>
      <x:color rgb="FF18864B"/>
      <x:name val="Aptos"/>
    </x:font>
    <x:font>
      <x:b/>
      <x:sz val="11"/>
      <x:color rgb="FFC53A2A"/>
      <x:name val="Aptos"/>
    </x:font>
    <x:font>
      <x:b/>
      <x:sz val="11"/>
      <x:color rgb="FFA66A00"/>
      <x:name val="Aptos"/>
    </x:font>
    <x:font>
      <x:b/>
      <x:sz val="11"/>
      <x:color rgb="FF5E6472"/>
      <x:name val="Aptos"/>
    </x:font>
    <x:font>
      <x:b/>
      <x:sz val="22"/>
      <x:color rgb="FF18864B"/>
      <x:name val="Aptos"/>
    </x:font>
    <x:font>
      <x:b/>
      <x:sz val="22"/>
      <x:color rgb="FFC53A2A"/>
      <x:name val="Aptos"/>
    </x:font>
    <x:font>
      <x:b/>
      <x:sz val="22"/>
      <x:color rgb="FFA66A00"/>
      <x:name val="Aptos"/>
    </x:font>
    <x:font>
      <x:b/>
      <x:sz val="22"/>
      <x:color rgb="FF5E6472"/>
      <x:name val="Aptos"/>
    </x:font>
    <x:font>
      <x:b/>
      <x:sz val="11"/>
      <x:color rgb="FFFFFFFF"/>
      <x:name val="Aptos"/>
    </x:font>
    <x:font>
      <x:b/>
      <x:sz val="11"/>
      <x:color rgb="FF7D2AE8"/>
      <x:name val="Aptos"/>
    </x:font>
    <x:font>
      <x:sz val="9"/>
      <x:name val="Carlito"/>
    </x:font>
    <x:font>
      <x:sz val="10"/>
      <x:name val="Carlito"/>
    </x:font>
    <x:font>
      <x:sz val="9"/>
      <x:name val="Aptos"/>
    </x:font>
    <x:font>
      <x:sz val="10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0E1B3D"/>
      </x:patternFill>
    </x:fill>
    <x:fill>
      <x:patternFill patternType="solid">
        <x:fgColor rgb="FFF7F8FB"/>
      </x:patternFill>
    </x:fill>
    <x:fill>
      <x:patternFill patternType="solid">
        <x:fgColor rgb="FFEAF3FF"/>
      </x:patternFill>
    </x:fill>
    <x:fill>
      <x:patternFill patternType="solid">
        <x:fgColor rgb="FFE7F6EC"/>
      </x:patternFill>
    </x:fill>
    <x:fill>
      <x:patternFill patternType="solid">
        <x:fgColor rgb="FFFCE9E6"/>
      </x:patternFill>
    </x:fill>
    <x:fill>
      <x:patternFill patternType="solid">
        <x:fgColor rgb="FFFFF4D8"/>
      </x:patternFill>
    </x:fill>
    <x:fill>
      <x:patternFill patternType="solid">
        <x:fgColor rgb="FFEEF0F3"/>
      </x:patternFill>
    </x:fill>
    <x:fill>
      <x:patternFill patternType="solid">
        <x:fgColor rgb="FF7D2AE8"/>
      </x:patternFill>
    </x:fill>
    <x:fill>
      <x:patternFill patternType="solid">
        <x:fgColor rgb="FFF3ECFF"/>
      </x:patternFill>
    </x:fill>
    <x:fill>
      <x:patternFill patternType="solid">
        <x:fgColor rgb="FF0A5ACD"/>
      </x:patternFill>
    </x:fill>
  </x:fills>
  <x:borders count="38">
    <x:border/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18864B"/>
      </x:left>
      <x:top style="thin">
        <x:color rgb="FF18864B"/>
      </x:top>
    </x:border>
    <x:border>
      <x:right style="thin">
        <x:color rgb="FF18864B"/>
      </x:right>
      <x:top style="thin">
        <x:color rgb="FF18864B"/>
      </x:top>
    </x:border>
    <x:border>
      <x:left style="thin">
        <x:color rgb="FF18864B"/>
      </x:left>
    </x:border>
    <x:border>
      <x:right style="thin">
        <x:color rgb="FF18864B"/>
      </x:right>
    </x:border>
    <x:border>
      <x:left style="thin">
        <x:color rgb="FF18864B"/>
      </x:left>
      <x:bottom style="thin">
        <x:color rgb="FF18864B"/>
      </x:bottom>
    </x:border>
    <x:border>
      <x:right style="thin">
        <x:color rgb="FF18864B"/>
      </x:right>
      <x:bottom style="thin">
        <x:color rgb="FF18864B"/>
      </x:bottom>
    </x:border>
    <x:border>
      <x:left style="thin">
        <x:color rgb="FFC53A2A"/>
      </x:left>
      <x:top style="thin">
        <x:color rgb="FFC53A2A"/>
      </x:top>
    </x:border>
    <x:border>
      <x:right style="thin">
        <x:color rgb="FFC53A2A"/>
      </x:right>
      <x:top style="thin">
        <x:color rgb="FFC53A2A"/>
      </x:top>
    </x:border>
    <x:border>
      <x:left style="thin">
        <x:color rgb="FFC53A2A"/>
      </x:left>
    </x:border>
    <x:border>
      <x:right style="thin">
        <x:color rgb="FFC53A2A"/>
      </x:right>
    </x:border>
    <x:border>
      <x:left style="thin">
        <x:color rgb="FFC53A2A"/>
      </x:left>
      <x:bottom style="thin">
        <x:color rgb="FFC53A2A"/>
      </x:bottom>
    </x:border>
    <x:border>
      <x:right style="thin">
        <x:color rgb="FFC53A2A"/>
      </x:right>
      <x:bottom style="thin">
        <x:color rgb="FFC53A2A"/>
      </x:bottom>
    </x:border>
    <x:border>
      <x:left style="thin">
        <x:color rgb="FFA66A00"/>
      </x:left>
      <x:top style="thin">
        <x:color rgb="FFA66A00"/>
      </x:top>
    </x:border>
    <x:border>
      <x:right style="thin">
        <x:color rgb="FFA66A00"/>
      </x:right>
      <x:top style="thin">
        <x:color rgb="FFA66A00"/>
      </x:top>
    </x:border>
    <x:border>
      <x:left style="thin">
        <x:color rgb="FFA66A00"/>
      </x:left>
    </x:border>
    <x:border>
      <x:right style="thin">
        <x:color rgb="FFA66A00"/>
      </x:right>
    </x:border>
    <x:border>
      <x:left style="thin">
        <x:color rgb="FFA66A00"/>
      </x:left>
      <x:bottom style="thin">
        <x:color rgb="FFA66A00"/>
      </x:bottom>
    </x:border>
    <x:border>
      <x:right style="thin">
        <x:color rgb="FFA66A00"/>
      </x:right>
      <x:bottom style="thin">
        <x:color rgb="FFA66A00"/>
      </x:bottom>
    </x:border>
    <x:border>
      <x:left style="thin">
        <x:color rgb="FF5E6472"/>
      </x:left>
      <x:top style="thin">
        <x:color rgb="FF5E6472"/>
      </x:top>
    </x:border>
    <x:border>
      <x:right style="thin">
        <x:color rgb="FF5E6472"/>
      </x:right>
      <x:top style="thin">
        <x:color rgb="FF5E6472"/>
      </x:top>
    </x:border>
    <x:border>
      <x:left style="thin">
        <x:color rgb="FF5E6472"/>
      </x:left>
    </x:border>
    <x:border>
      <x:right style="thin">
        <x:color rgb="FF5E6472"/>
      </x:right>
    </x:border>
    <x:border>
      <x:left style="thin">
        <x:color rgb="FF5E6472"/>
      </x:left>
      <x:bottom style="thin">
        <x:color rgb="FF5E6472"/>
      </x:bottom>
    </x:border>
    <x:border>
      <x:right style="thin">
        <x:color rgb="FF5E6472"/>
      </x:right>
      <x:bottom style="thin">
        <x:color rgb="FF5E6472"/>
      </x:bottom>
    </x:border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  <x:border>
      <x:bottom style="thin">
        <x:color rgb="FFE4E8EF"/>
      </x:bottom>
    </x:border>
    <x:border>
      <x:top style="thin">
        <x:color rgb="FFE4E8EF"/>
      </x:top>
      <x:bottom style="thin">
        <x:color rgb="FFE4E8EF"/>
      </x:bottom>
    </x:border>
    <x:border>
      <x:top style="thin">
        <x:color rgb="FFE4E8EF"/>
      </x:top>
      <x:bottom style="thin">
        <x:color rgb="FFD8DEE9"/>
      </x:bottom>
    </x:border>
  </x:borders>
  <x:cellStyleXfs count="1">
    <x:xf numFmtId="0" fontId="0" fillId="0" borderId="0"/>
  </x:cellStyleXfs>
  <x:cellXfs count="2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0" xfId="0" applyNumberFormat="1" applyFont="1" applyFill="1" applyBorder="1" applyAlignment="1">
      <x:alignment horizontal="center"/>
    </x:xf>
    <x:xf numFmtId="0" fontId="5" fillId="6" borderId="11" xfId="0" applyNumberFormat="1" applyFont="1" applyFill="1" applyBorder="1" applyAlignment="1">
      <x:alignment horizontal="center"/>
    </x:xf>
    <x:xf numFmtId="0" fontId="5" fillId="6" borderId="12" xfId="0" applyNumberFormat="1" applyFont="1" applyFill="1" applyBorder="1" applyAlignment="1">
      <x:alignment horizontal="center"/>
    </x:xf>
    <x:xf numFmtId="0" fontId="5" fillId="6" borderId="13" xfId="0" applyNumberFormat="1" applyFont="1" applyFill="1" applyBorder="1" applyAlignment="1">
      <x:alignment horizontal="center"/>
    </x:xf>
    <x:xf numFmtId="0" fontId="5" fillId="6" borderId="14" xfId="0" applyNumberFormat="1" applyFont="1" applyFill="1" applyBorder="1" applyAlignment="1">
      <x:alignment horizontal="center"/>
    </x:xf>
    <x:xf numFmtId="0" fontId="5" fillId="6" borderId="15" xfId="0" applyNumberFormat="1" applyFont="1" applyFill="1" applyBorder="1" applyAlignment="1">
      <x:alignment horizontal="center"/>
    </x:xf>
    <x:xf numFmtId="0" fontId="5" fillId="6" borderId="10" xfId="0" applyNumberFormat="1" applyFont="1" applyFill="1" applyBorder="1" applyAlignment="1">
      <x:alignment horizontal="center" vertical="center"/>
    </x:xf>
    <x:xf numFmtId="0" fontId="5" fillId="6" borderId="11" xfId="0" applyNumberFormat="1" applyFont="1" applyFill="1" applyBorder="1" applyAlignment="1">
      <x:alignment horizontal="center" vertical="center"/>
    </x:xf>
    <x:xf numFmtId="0" fontId="5" fillId="6" borderId="12" xfId="0" applyNumberFormat="1" applyFont="1" applyFill="1" applyBorder="1" applyAlignment="1">
      <x:alignment horizontal="center" vertical="center"/>
    </x:xf>
    <x:xf numFmtId="0" fontId="5" fillId="6" borderId="13" xfId="0" applyNumberFormat="1" applyFont="1" applyFill="1" applyBorder="1" applyAlignment="1">
      <x:alignment horizontal="center" vertical="center"/>
    </x:xf>
    <x:xf numFmtId="0" fontId="5" fillId="6" borderId="14" xfId="0" applyNumberFormat="1" applyFont="1" applyFill="1" applyBorder="1" applyAlignment="1">
      <x:alignment horizontal="center" vertical="center"/>
    </x:xf>
    <x:xf numFmtId="0" fontId="5" fillId="6" borderId="1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6" xfId="0" applyNumberFormat="1" applyFont="1" applyFill="1" applyBorder="1"/>
    <x:xf numFmtId="0" fontId="6" fillId="7" borderId="17" xfId="0" applyNumberFormat="1" applyFont="1" applyFill="1" applyBorder="1"/>
    <x:xf numFmtId="0" fontId="6" fillId="7" borderId="18" xfId="0" applyNumberFormat="1" applyFont="1" applyFill="1" applyBorder="1"/>
    <x:xf numFmtId="0" fontId="6" fillId="7" borderId="19" xfId="0" applyNumberFormat="1" applyFont="1" applyFill="1" applyBorder="1"/>
    <x:xf numFmtId="0" fontId="6" fillId="7" borderId="20" xfId="0" applyNumberFormat="1" applyFont="1" applyFill="1" applyBorder="1"/>
    <x:xf numFmtId="0" fontId="6" fillId="7" borderId="21" xfId="0" applyNumberFormat="1" applyFont="1" applyFill="1" applyBorder="1"/>
    <x:xf numFmtId="0" fontId="6" fillId="7" borderId="16" xfId="0" applyNumberFormat="1" applyFont="1" applyFill="1" applyBorder="1" applyAlignment="1">
      <x:alignment horizontal="center"/>
    </x:xf>
    <x:xf numFmtId="0" fontId="6" fillId="7" borderId="17" xfId="0" applyNumberFormat="1" applyFont="1" applyFill="1" applyBorder="1" applyAlignment="1">
      <x:alignment horizontal="center"/>
    </x:xf>
    <x:xf numFmtId="0" fontId="6" fillId="7" borderId="18" xfId="0" applyNumberFormat="1" applyFont="1" applyFill="1" applyBorder="1" applyAlignment="1">
      <x:alignment horizontal="center"/>
    </x:xf>
    <x:xf numFmtId="0" fontId="6" fillId="7" borderId="19" xfId="0" applyNumberFormat="1" applyFont="1" applyFill="1" applyBorder="1" applyAlignment="1">
      <x:alignment horizontal="center"/>
    </x:xf>
    <x:xf numFmtId="0" fontId="6" fillId="7" borderId="20" xfId="0" applyNumberFormat="1" applyFont="1" applyFill="1" applyBorder="1" applyAlignment="1">
      <x:alignment horizontal="center"/>
    </x:xf>
    <x:xf numFmtId="0" fontId="6" fillId="7" borderId="21" xfId="0" applyNumberFormat="1" applyFont="1" applyFill="1" applyBorder="1" applyAlignment="1">
      <x:alignment horizontal="center"/>
    </x:xf>
    <x:xf numFmtId="0" fontId="6" fillId="7" borderId="16" xfId="0" applyNumberFormat="1" applyFont="1" applyFill="1" applyBorder="1" applyAlignment="1">
      <x:alignment horizontal="center" vertical="center"/>
    </x:xf>
    <x:xf numFmtId="0" fontId="6" fillId="7" borderId="17" xfId="0" applyNumberFormat="1" applyFont="1" applyFill="1" applyBorder="1" applyAlignment="1">
      <x:alignment horizontal="center" vertical="center"/>
    </x:xf>
    <x:xf numFmtId="0" fontId="6" fillId="7" borderId="18" xfId="0" applyNumberFormat="1" applyFont="1" applyFill="1" applyBorder="1" applyAlignment="1">
      <x:alignment horizontal="center" vertical="center"/>
    </x:xf>
    <x:xf numFmtId="0" fontId="6" fillId="7" borderId="19" xfId="0" applyNumberFormat="1" applyFont="1" applyFill="1" applyBorder="1" applyAlignment="1">
      <x:alignment horizontal="center" vertical="center"/>
    </x:xf>
    <x:xf numFmtId="0" fontId="6" fillId="7" borderId="20" xfId="0" applyNumberFormat="1" applyFont="1" applyFill="1" applyBorder="1" applyAlignment="1">
      <x:alignment horizontal="center" vertical="center"/>
    </x:xf>
    <x:xf numFmtId="0" fontId="6" fillId="7" borderId="2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2" xfId="0" applyNumberFormat="1" applyFont="1" applyFill="1" applyBorder="1"/>
    <x:xf numFmtId="0" fontId="7" fillId="8" borderId="23" xfId="0" applyNumberFormat="1" applyFont="1" applyFill="1" applyBorder="1"/>
    <x:xf numFmtId="0" fontId="7" fillId="8" borderId="24" xfId="0" applyNumberFormat="1" applyFont="1" applyFill="1" applyBorder="1"/>
    <x:xf numFmtId="0" fontId="7" fillId="8" borderId="25" xfId="0" applyNumberFormat="1" applyFont="1" applyFill="1" applyBorder="1"/>
    <x:xf numFmtId="0" fontId="7" fillId="8" borderId="26" xfId="0" applyNumberFormat="1" applyFont="1" applyFill="1" applyBorder="1"/>
    <x:xf numFmtId="0" fontId="7" fillId="8" borderId="27" xfId="0" applyNumberFormat="1" applyFont="1" applyFill="1" applyBorder="1"/>
    <x:xf numFmtId="0" fontId="7" fillId="8" borderId="22" xfId="0" applyNumberFormat="1" applyFont="1" applyFill="1" applyBorder="1" applyAlignment="1">
      <x:alignment horizontal="center"/>
    </x:xf>
    <x:xf numFmtId="0" fontId="7" fillId="8" borderId="23" xfId="0" applyNumberFormat="1" applyFont="1" applyFill="1" applyBorder="1" applyAlignment="1">
      <x:alignment horizontal="center"/>
    </x:xf>
    <x:xf numFmtId="0" fontId="7" fillId="8" borderId="24" xfId="0" applyNumberFormat="1" applyFont="1" applyFill="1" applyBorder="1" applyAlignment="1">
      <x:alignment horizontal="center"/>
    </x:xf>
    <x:xf numFmtId="0" fontId="7" fillId="8" borderId="25" xfId="0" applyNumberFormat="1" applyFont="1" applyFill="1" applyBorder="1" applyAlignment="1">
      <x:alignment horizontal="center"/>
    </x:xf>
    <x:xf numFmtId="0" fontId="7" fillId="8" borderId="26" xfId="0" applyNumberFormat="1" applyFont="1" applyFill="1" applyBorder="1" applyAlignment="1">
      <x:alignment horizontal="center"/>
    </x:xf>
    <x:xf numFmtId="0" fontId="7" fillId="8" borderId="27" xfId="0" applyNumberFormat="1" applyFont="1" applyFill="1" applyBorder="1" applyAlignment="1">
      <x:alignment horizontal="center"/>
    </x:xf>
    <x:xf numFmtId="0" fontId="7" fillId="8" borderId="22" xfId="0" applyNumberFormat="1" applyFont="1" applyFill="1" applyBorder="1" applyAlignment="1">
      <x:alignment horizontal="center" vertical="center"/>
    </x:xf>
    <x:xf numFmtId="0" fontId="7" fillId="8" borderId="23" xfId="0" applyNumberFormat="1" applyFont="1" applyFill="1" applyBorder="1" applyAlignment="1">
      <x:alignment horizontal="center" vertical="center"/>
    </x:xf>
    <x:xf numFmtId="0" fontId="7" fillId="8" borderId="24" xfId="0" applyNumberFormat="1" applyFont="1" applyFill="1" applyBorder="1" applyAlignment="1">
      <x:alignment horizontal="center" vertical="center"/>
    </x:xf>
    <x:xf numFmtId="0" fontId="7" fillId="8" borderId="25" xfId="0" applyNumberFormat="1" applyFont="1" applyFill="1" applyBorder="1" applyAlignment="1">
      <x:alignment horizontal="center" vertical="center"/>
    </x:xf>
    <x:xf numFmtId="0" fontId="7" fillId="8" borderId="26" xfId="0" applyNumberFormat="1" applyFont="1" applyFill="1" applyBorder="1" applyAlignment="1">
      <x:alignment horizontal="center" vertical="center"/>
    </x:xf>
    <x:xf numFmtId="0" fontId="7" fillId="8" borderId="27" xfId="0" applyNumberFormat="1" applyFont="1" applyFill="1" applyBorder="1" applyAlignment="1">
      <x:alignment horizontal="center" vertic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8" fillId="5" borderId="7" xfId="0" applyNumberFormat="1" applyFont="1" applyFill="1" applyBorder="1" applyAlignment="1">
      <x:alignment horizontal="center" vertical="center"/>
    </x:xf>
    <x:xf numFmtId="0" fontId="9" fillId="6" borderId="12" xfId="0" applyNumberFormat="1" applyFont="1" applyFill="1" applyBorder="1" applyAlignment="1">
      <x:alignment horizontal="center" vertical="center"/>
    </x:xf>
    <x:xf numFmtId="0" fontId="9" fillId="6" borderId="13" xfId="0" applyNumberFormat="1" applyFont="1" applyFill="1" applyBorder="1" applyAlignment="1">
      <x:alignment horizontal="center" vertical="center"/>
    </x:xf>
    <x:xf numFmtId="0" fontId="10" fillId="7" borderId="18" xfId="0" applyNumberFormat="1" applyFont="1" applyFill="1" applyBorder="1" applyAlignment="1">
      <x:alignment horizontal="center" vertical="center"/>
    </x:xf>
    <x:xf numFmtId="0" fontId="10" fillId="7" borderId="19" xfId="0" applyNumberFormat="1" applyFont="1" applyFill="1" applyBorder="1" applyAlignment="1">
      <x:alignment horizontal="center" vertical="center"/>
    </x:xf>
    <x:xf numFmtId="0" fontId="11" fillId="8" borderId="24" xfId="0" applyNumberFormat="1" applyFont="1" applyFill="1" applyBorder="1" applyAlignment="1">
      <x:alignment horizontal="center" vertical="center"/>
    </x:xf>
    <x:xf numFmtId="0" fontId="11" fillId="8" borderId="25" xfId="0" applyNumberFormat="1" applyFont="1" applyFill="1" applyBorder="1" applyAlignment="1">
      <x:alignment horizontal="center" vertical="center"/>
    </x:xf>
    <x:xf numFmtId="0" fontId="8" fillId="5" borderId="8" xfId="0" applyNumberFormat="1" applyFont="1" applyFill="1" applyBorder="1" applyAlignment="1">
      <x:alignment horizontal="center" vertical="center"/>
    </x:xf>
    <x:xf numFmtId="0" fontId="8" fillId="5" borderId="9" xfId="0" applyNumberFormat="1" applyFont="1" applyFill="1" applyBorder="1" applyAlignment="1">
      <x:alignment horizontal="center" vertical="center"/>
    </x:xf>
    <x:xf numFmtId="0" fontId="9" fillId="6" borderId="14" xfId="0" applyNumberFormat="1" applyFont="1" applyFill="1" applyBorder="1" applyAlignment="1">
      <x:alignment horizontal="center" vertical="center"/>
    </x:xf>
    <x:xf numFmtId="0" fontId="9" fillId="6" borderId="15" xfId="0" applyNumberFormat="1" applyFont="1" applyFill="1" applyBorder="1" applyAlignment="1">
      <x:alignment horizontal="center" vertical="center"/>
    </x:xf>
    <x:xf numFmtId="0" fontId="10" fillId="7" borderId="20" xfId="0" applyNumberFormat="1" applyFont="1" applyFill="1" applyBorder="1" applyAlignment="1">
      <x:alignment horizontal="center" vertical="center"/>
    </x:xf>
    <x:xf numFmtId="0" fontId="10" fillId="7" borderId="21" xfId="0" applyNumberFormat="1" applyFont="1" applyFill="1" applyBorder="1" applyAlignment="1">
      <x:alignment horizontal="center" vertical="center"/>
    </x:xf>
    <x:xf numFmtId="0" fontId="11" fillId="8" borderId="26" xfId="0" applyNumberFormat="1" applyFont="1" applyFill="1" applyBorder="1" applyAlignment="1">
      <x:alignment horizontal="center" vertical="center"/>
    </x:xf>
    <x:xf numFmtId="0" fontId="11" fillId="8" borderId="27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horizontal="center"/>
    </x:xf>
    <x:xf numFmtId="0" fontId="13" fillId="10" borderId="0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" xfId="0" applyNumberFormat="1" applyFont="1" applyFill="1" applyBorder="1"/>
    <x:xf numFmtId="0" fontId="0" fillId="0" borderId="31" xfId="0" applyNumberFormat="1" applyFont="1" applyFill="1" applyBorder="1"/>
    <x:xf numFmtId="0" fontId="0" fillId="0" borderId="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4" fillId="2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/>
    <x:xf numFmtId="0" fontId="17" fillId="4" borderId="1" xfId="0" applyNumberFormat="1" applyFont="1" applyFill="1" applyBorder="1"/>
    <x:xf numFmtId="0" fontId="17" fillId="4" borderId="2" xfId="0" applyNumberFormat="1" applyFont="1" applyFill="1" applyBorder="1"/>
    <x:xf numFmtId="0" fontId="17" fillId="4" borderId="3" xfId="0" applyNumberFormat="1" applyFont="1" applyFill="1" applyBorder="1"/>
    <x:xf numFmtId="0" fontId="18" fillId="5" borderId="4" xfId="0" applyNumberFormat="1" applyFont="1" applyFill="1" applyBorder="1" applyAlignment="1">
      <x:alignment horizontal="center" vertical="center"/>
    </x:xf>
    <x:xf numFmtId="0" fontId="18" fillId="5" borderId="5" xfId="0" applyNumberFormat="1" applyFont="1" applyFill="1" applyBorder="1" applyAlignment="1">
      <x:alignment horizontal="center" vertical="center"/>
    </x:xf>
    <x:xf numFmtId="0" fontId="19" fillId="6" borderId="10" xfId="0" applyNumberFormat="1" applyFont="1" applyFill="1" applyBorder="1" applyAlignment="1">
      <x:alignment horizontal="center" vertical="center"/>
    </x:xf>
    <x:xf numFmtId="0" fontId="19" fillId="6" borderId="11" xfId="0" applyNumberFormat="1" applyFont="1" applyFill="1" applyBorder="1" applyAlignment="1">
      <x:alignment horizontal="center" vertical="center"/>
    </x:xf>
    <x:xf numFmtId="0" fontId="20" fillId="7" borderId="16" xfId="0" applyNumberFormat="1" applyFont="1" applyFill="1" applyBorder="1" applyAlignment="1">
      <x:alignment horizontal="center" vertical="center"/>
    </x:xf>
    <x:xf numFmtId="0" fontId="20" fillId="7" borderId="17" xfId="0" applyNumberFormat="1" applyFont="1" applyFill="1" applyBorder="1" applyAlignment="1">
      <x:alignment horizontal="center" vertical="center"/>
    </x:xf>
    <x:xf numFmtId="0" fontId="21" fillId="8" borderId="22" xfId="0" applyNumberFormat="1" applyFont="1" applyFill="1" applyBorder="1" applyAlignment="1">
      <x:alignment horizontal="center" vertical="center"/>
    </x:xf>
    <x:xf numFmtId="0" fontId="21" fillId="8" borderId="23" xfId="0" applyNumberFormat="1" applyFont="1" applyFill="1" applyBorder="1" applyAlignment="1">
      <x:alignment horizontal="center" vertical="center"/>
    </x:xf>
    <x:xf numFmtId="0" fontId="22" fillId="5" borderId="6" xfId="0" applyNumberFormat="1" applyFont="1" applyFill="1" applyBorder="1" applyAlignment="1">
      <x:alignment horizontal="center" vertical="center"/>
    </x:xf>
    <x:xf numFmtId="0" fontId="22" fillId="5" borderId="7" xfId="0" applyNumberFormat="1" applyFont="1" applyFill="1" applyBorder="1" applyAlignment="1">
      <x:alignment horizontal="center" vertical="center"/>
    </x:xf>
    <x:xf numFmtId="0" fontId="23" fillId="6" borderId="12" xfId="0" applyNumberFormat="1" applyFont="1" applyFill="1" applyBorder="1" applyAlignment="1">
      <x:alignment horizontal="center" vertical="center"/>
    </x:xf>
    <x:xf numFmtId="0" fontId="23" fillId="6" borderId="13" xfId="0" applyNumberFormat="1" applyFont="1" applyFill="1" applyBorder="1" applyAlignment="1">
      <x:alignment horizontal="center" vertical="center"/>
    </x:xf>
    <x:xf numFmtId="0" fontId="24" fillId="7" borderId="18" xfId="0" applyNumberFormat="1" applyFont="1" applyFill="1" applyBorder="1" applyAlignment="1">
      <x:alignment horizontal="center" vertical="center"/>
    </x:xf>
    <x:xf numFmtId="0" fontId="24" fillId="7" borderId="19" xfId="0" applyNumberFormat="1" applyFont="1" applyFill="1" applyBorder="1" applyAlignment="1">
      <x:alignment horizontal="center" vertical="center"/>
    </x:xf>
    <x:xf numFmtId="0" fontId="25" fillId="8" borderId="24" xfId="0" applyNumberFormat="1" applyFont="1" applyFill="1" applyBorder="1" applyAlignment="1">
      <x:alignment horizontal="center" vertical="center"/>
    </x:xf>
    <x:xf numFmtId="0" fontId="25" fillId="8" borderId="25" xfId="0" applyNumberFormat="1" applyFont="1" applyFill="1" applyBorder="1" applyAlignment="1">
      <x:alignment horizontal="center" vertical="center"/>
    </x:xf>
    <x:xf numFmtId="0" fontId="22" fillId="5" borderId="8" xfId="0" applyNumberFormat="1" applyFont="1" applyFill="1" applyBorder="1" applyAlignment="1">
      <x:alignment horizontal="center" vertical="center"/>
    </x:xf>
    <x:xf numFmtId="0" fontId="22" fillId="5" borderId="9" xfId="0" applyNumberFormat="1" applyFont="1" applyFill="1" applyBorder="1" applyAlignment="1">
      <x:alignment horizontal="center" vertical="center"/>
    </x:xf>
    <x:xf numFmtId="0" fontId="23" fillId="6" borderId="14" xfId="0" applyNumberFormat="1" applyFont="1" applyFill="1" applyBorder="1" applyAlignment="1">
      <x:alignment horizontal="center" vertical="center"/>
    </x:xf>
    <x:xf numFmtId="0" fontId="23" fillId="6" borderId="15" xfId="0" applyNumberFormat="1" applyFont="1" applyFill="1" applyBorder="1" applyAlignment="1">
      <x:alignment horizontal="center" vertical="center"/>
    </x:xf>
    <x:xf numFmtId="0" fontId="24" fillId="7" borderId="20" xfId="0" applyNumberFormat="1" applyFont="1" applyFill="1" applyBorder="1" applyAlignment="1">
      <x:alignment horizontal="center" vertical="center"/>
    </x:xf>
    <x:xf numFmtId="0" fontId="24" fillId="7" borderId="21" xfId="0" applyNumberFormat="1" applyFont="1" applyFill="1" applyBorder="1" applyAlignment="1">
      <x:alignment horizontal="center" vertical="center"/>
    </x:xf>
    <x:xf numFmtId="0" fontId="25" fillId="8" borderId="26" xfId="0" applyNumberFormat="1" applyFont="1" applyFill="1" applyBorder="1" applyAlignment="1">
      <x:alignment horizontal="center" vertical="center"/>
    </x:xf>
    <x:xf numFmtId="0" fontId="25" fillId="8" borderId="27" xfId="0" applyNumberFormat="1" applyFont="1" applyFill="1" applyBorder="1" applyAlignment="1">
      <x:alignment horizontal="center" vertical="center"/>
    </x:xf>
    <x:xf numFmtId="0" fontId="26" fillId="9" borderId="0" xfId="0" applyNumberFormat="1" applyFont="1" applyFill="1" applyBorder="1"/>
    <x:xf numFmtId="0" fontId="27" fillId="10" borderId="0" xfId="0" applyNumberFormat="1" applyFont="1" applyFill="1" applyBorder="1" applyAlignment="1">
      <x:alignment horizontal="center" vertical="center"/>
    </x:xf>
    <x:xf numFmtId="0" fontId="16" fillId="0" borderId="28" xfId="0" applyNumberFormat="1" applyFont="1" applyFill="1" applyBorder="1" applyAlignment="1">
      <x:alignment vertical="center" wrapText="1"/>
    </x:xf>
    <x:xf numFmtId="0" fontId="16" fillId="0" borderId="29" xfId="0" applyNumberFormat="1" applyFont="1" applyFill="1" applyBorder="1" applyAlignment="1">
      <x:alignment vertical="center" wrapText="1"/>
    </x:xf>
    <x:xf numFmtId="0" fontId="16" fillId="0" borderId="30" xfId="0" applyNumberFormat="1" applyFont="1" applyFill="1" applyBorder="1" applyAlignment="1">
      <x:alignment vertical="center" wrapText="1"/>
    </x:xf>
    <x:xf numFmtId="0" fontId="16" fillId="0" borderId="3" xfId="0" applyNumberFormat="1" applyFont="1" applyFill="1" applyBorder="1" applyAlignment="1">
      <x:alignment vertical="center" wrapText="1"/>
    </x:xf>
    <x:xf numFmtId="0" fontId="16" fillId="0" borderId="31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vertical="center" wrapText="1"/>
    </x:xf>
    <x:xf numFmtId="0" fontId="16" fillId="0" borderId="32" xfId="0" applyNumberFormat="1" applyFont="1" applyFill="1" applyBorder="1" applyAlignment="1">
      <x:alignment vertical="center" wrapText="1"/>
    </x:xf>
    <x:xf numFmtId="0" fontId="16" fillId="0" borderId="33" xfId="0" applyNumberFormat="1" applyFont="1" applyFill="1" applyBorder="1" applyAlignment="1">
      <x:alignment vertical="center" wrapText="1"/>
    </x:xf>
    <x:xf numFmtId="0" fontId="16" fillId="0" borderId="34" xfId="0" applyNumberFormat="1" applyFont="1" applyFill="1" applyBorder="1" applyAlignment="1">
      <x:alignment vertical="center" wrapText="1"/>
    </x:xf>
    <x:xf numFmtId="0" fontId="26" fillId="11" borderId="0" xfId="0" applyNumberFormat="1" applyFont="1" applyFill="1" applyBorder="1"/>
    <x:xf numFmtId="0" fontId="17" fillId="3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vertical="center"/>
    </x:xf>
    <x:xf numFmtId="0" fontId="17" fillId="4" borderId="1" xfId="0" applyNumberFormat="1" applyFont="1" applyFill="1" applyBorder="1" applyAlignment="1">
      <x:alignment vertical="center"/>
    </x:xf>
    <x:xf numFmtId="0" fontId="17" fillId="4" borderId="2" xfId="0" applyNumberFormat="1" applyFont="1" applyFill="1" applyBorder="1" applyAlignment="1">
      <x:alignment vertical="center"/>
    </x:xf>
    <x:xf numFmtId="0" fontId="17" fillId="4" borderId="3" xfId="0" applyNumberFormat="1" applyFont="1" applyFill="1" applyBorder="1" applyAlignment="1">
      <x:alignment vertical="center"/>
    </x:xf>
    <x:xf numFmtId="0" fontId="26" fillId="9" borderId="0" xfId="0" applyNumberFormat="1" applyFont="1" applyFill="1" applyBorder="1" applyAlignment="1">
      <x:alignment vertical="center"/>
    </x:xf>
    <x:xf numFmtId="0" fontId="26" fillId="11" borderId="0" xfId="0" applyNumberFormat="1" applyFont="1" applyFill="1" applyBorder="1" applyAlignment="1">
      <x:alignment vertical="center"/>
    </x:xf>
    <x:xf numFmtId="0" fontId="17" fillId="3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vertical="center" wrapText="1"/>
    </x:xf>
    <x:xf numFmtId="0" fontId="28" fillId="0" borderId="0" xfId="0" applyNumberFormat="1" applyFont="1" applyFill="1" applyBorder="1"/>
    <x:xf numFmtId="0" fontId="2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" fillId="0" borderId="0" xfId="0" applyNumberFormat="1" applyFont="1" applyFill="1" applyBorder="1" applyAlignment="1">
      <x:alignment wrapText="1"/>
    </x:xf>
    <x:xf numFmtId="0" fontId="28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" fillId="0" borderId="0" xfId="0" applyNumberFormat="1" applyFont="1" applyFill="1" applyBorder="1" applyAlignment="1">
      <x:alignment vertical="top" wrapText="1"/>
    </x:xf>
    <x:xf numFmtId="0" fontId="28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11" borderId="35" xfId="0" applyNumberFormat="1" applyFont="1" applyFill="1" applyBorder="1" applyAlignment="1">
      <x:alignment vertical="center" wrapText="1"/>
    </x:xf>
    <x:xf numFmtId="0" fontId="28" fillId="0" borderId="36" xfId="0" applyNumberFormat="1" applyFont="1" applyFill="1" applyBorder="1" applyAlignment="1">
      <x:alignment vertical="top" wrapText="1"/>
    </x:xf>
    <x:xf numFmtId="0" fontId="28" fillId="0" borderId="3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8" fillId="0" borderId="37" xfId="0" applyNumberFormat="1" applyFont="1" applyFill="1" applyBorder="1" applyAlignment="1">
      <x:alignment vertical="top" wrapText="1"/>
    </x:xf>
    <x:xf numFmtId="0" fontId="28" fillId="0" borderId="3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vertical="center" wrapText="1"/>
    </x:xf>
    <x:xf numFmtId="0" fontId="28" fillId="7" borderId="0" xfId="0" applyNumberFormat="1" applyFont="1" applyFill="1" applyBorder="1" applyAlignment="1">
      <x:alignment vertical="top" wrapText="1"/>
    </x:xf>
    <x:xf numFmtId="200" fontId="28" fillId="0" borderId="0" xfId="0" applyNumberFormat="1" applyFont="1" applyFill="1" applyBorder="1" applyAlignment="1">
      <x:alignment vertical="top" wrapText="1"/>
    </x:xf>
    <x:xf numFmtId="200" fontId="28" fillId="7" borderId="0" xfId="0" applyNumberFormat="1" applyFont="1" applyFill="1" applyBorder="1" applyAlignment="1">
      <x:alignment vertical="top" wrapText="1"/>
    </x:xf>
    <x:xf numFmtId="0" fontId="29" fillId="0" borderId="0" xfId="0" applyNumberFormat="1" applyFont="1" applyFill="1" applyBorder="1"/>
    <x:xf numFmtId="0" fontId="29" fillId="0" borderId="0" xfId="0" applyNumberFormat="1" applyFont="1" applyFill="1" applyBorder="1" applyAlignment="1">
      <x:alignment wrapText="1"/>
    </x:xf>
    <x:xf numFmtId="0" fontId="29" fillId="0" borderId="0" xfId="0" applyNumberFormat="1" applyFont="1" applyFill="1" applyBorder="1" applyAlignment="1">
      <x:alignment vertical="top" wrapText="1"/>
    </x:xf>
    <x:xf numFmtId="0" fontId="26" fillId="11" borderId="35" xfId="0" applyNumberFormat="1" applyFont="1" applyFill="1" applyBorder="1" applyAlignment="1">
      <x:alignment vertical="center" wrapText="1"/>
    </x:xf>
    <x:xf numFmtId="0" fontId="30" fillId="0" borderId="36" xfId="0" applyNumberFormat="1" applyFont="1" applyFill="1" applyBorder="1" applyAlignment="1">
      <x:alignment vertical="top" wrapText="1"/>
    </x:xf>
    <x:xf numFmtId="0" fontId="30" fillId="0" borderId="3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0" fillId="0" borderId="37" xfId="0" applyNumberFormat="1" applyFont="1" applyFill="1" applyBorder="1" applyAlignment="1">
      <x:alignment vertical="top" wrapText="1"/>
    </x:xf>
    <x:xf numFmtId="0" fontId="30" fillId="0" borderId="3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6" fillId="9" borderId="0" xfId="0" applyNumberFormat="1" applyFont="1" applyFill="1" applyBorder="1" applyAlignment="1">
      <x:alignment vertical="center" wrapText="1"/>
    </x:xf>
    <x:xf numFmtId="0" fontId="30" fillId="0" borderId="0" xfId="0" applyNumberFormat="1" applyFont="1" applyFill="1" applyBorder="1" applyAlignment="1">
      <x:alignment vertical="top" wrapText="1"/>
    </x:xf>
    <x:xf numFmtId="0" fontId="30" fillId="7" borderId="0" xfId="0" applyNumberFormat="1" applyFont="1" applyFill="1" applyBorder="1" applyAlignment="1">
      <x:alignment vertical="top" wrapText="1"/>
    </x:xf>
    <x:xf numFmtId="200" fontId="30" fillId="0" borderId="0" xfId="0" applyNumberFormat="1" applyFont="1" applyFill="1" applyBorder="1" applyAlignment="1">
      <x:alignment vertical="top" wrapText="1"/>
    </x:xf>
    <x:xf numFmtId="200" fontId="30" fillId="7" borderId="0" xfId="0" applyNumberFormat="1" applyFont="1" applyFill="1" applyBorder="1" applyAlignment="1">
      <x:alignment vertical="top" wrapText="1"/>
    </x:xf>
    <x:xf numFmtId="0" fontId="26" fillId="9" borderId="0" xfId="0" applyNumberFormat="1" applyFont="1" applyFill="1" applyBorder="1" applyAlignment="1">
      <x:alignment wrapText="1"/>
    </x:xf>
    <x:xf numFmtId="0" fontId="3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8864B"/>
      </x:font>
      <x:fill>
        <x:patternFill patternType="solid">
          <x:bgColor rgb="FFE7F6EC"/>
        </x:patternFill>
      </x:fill>
    </x:dxf>
    <x:dxf>
      <x:font>
        <x:b/>
        <x:color rgb="FFC53A2A"/>
      </x:font>
      <x:fill>
        <x:patternFill patternType="solid">
          <x:bgColor rgb="FFFCE9E6"/>
        </x:patternFill>
      </x:fill>
    </x:dxf>
    <x:dxf>
      <x:font>
        <x:b/>
        <x:color rgb="FFA66A00"/>
      </x:font>
      <x:fill>
        <x:patternFill patternType="solid">
          <x:bgColor rgb="FFFFF4D8"/>
        </x:patternFill>
      </x:fill>
    </x:dxf>
    <x:dxf>
      <x:font>
        <x:b/>
        <x:color rgb="FF5E6472"/>
      </x:font>
      <x:fill>
        <x:patternFill patternType="solid">
          <x:bgColor rgb="FFEEF0F3"/>
        </x:patternFill>
      </x:fill>
    </x:dxf>
    <x:dxf>
      <x:font>
        <x:b/>
        <x:color rgb="FF18864B"/>
      </x:font>
      <x:fill>
        <x:patternFill patternType="solid">
          <x:bgColor rgb="FFE7F6EC"/>
        </x:patternFill>
      </x:fill>
    </x:dxf>
    <x:dxf>
      <x:font>
        <x:b/>
        <x:color rgb="FFC53A2A"/>
      </x:font>
      <x:fill>
        <x:patternFill patternType="solid">
          <x:bgColor rgb="FFFCE9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a6cdecc1149eb" /><Relationship Type="http://schemas.openxmlformats.org/officeDocument/2006/relationships/theme" Target="/xl/theme/theme1.xml" Id="Rdf69e0e1e40e4fee" /><Relationship Type="http://schemas.microsoft.com/office/2022/11/relationships/FeaturePropertyBag" Target="/xl/featurePropertyBag/featurePropertyBag.xml" Id="R6033e5d78e3a424f" /><Relationship Type="http://schemas.openxmlformats.org/officeDocument/2006/relationships/sharedStrings" Target="/xl/sharedStrings.xml" Id="R6db659af7caf44cf" /><Relationship Type="http://schemas.openxmlformats.org/officeDocument/2006/relationships/worksheet" Target="/xl/worksheets/sheet1.xml" Id="R65a931de207d4675" /><Relationship Type="http://schemas.openxmlformats.org/officeDocument/2006/relationships/worksheet" Target="/xl/worksheets/sheet2.xml" Id="R1f66b8be86d04ae3" /><Relationship Type="http://schemas.openxmlformats.org/officeDocument/2006/relationships/worksheet" Target="/xl/worksheets/sheet3.xml" Id="Ra7eac1326d574449" /><Relationship Type="http://schemas.openxmlformats.org/officeDocument/2006/relationships/worksheet" Target="/xl/worksheets/sheet4.xml" Id="R018c796c2b3748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mplianceTestCases" displayName="ComplianceTestCases" ref="A4:AA16" headerRowCount="1" totalsRowCount="0" totalsRowShown="0">
  <x:tableColumns count="27">
    <x:tableColumn id="1" name="test_id"/>
    <x:tableColumn id="2" name="title"/>
    <x:tableColumn id="3" name="image_file"/>
    <x:tableColumn id="4" name="country"/>
    <x:tableColumn id="5" name="industry"/>
    <x:tableColumn id="6" name="product_type"/>
    <x:tableColumn id="7" name="product_regulation"/>
    <x:tableColumn id="8" name="channel"/>
    <x:tableColumn id="9" name="content_format"/>
    <x:tableColumn id="10" name="content_origin"/>
    <x:tableColumn id="11" name="text_layer_available"/>
    <x:tableColumn id="12" name="supporting_evidence"/>
    <x:tableColumn id="13" name="poster_visible_text_gold"/>
    <x:tableColumn id="14" name="expected_status"/>
    <x:tableColumn id="15" name="expected_trigger"/>
    <x:tableColumn id="16" name="expected_issue_type"/>
    <x:tableColumn id="17" name="expected_flagged_text"/>
    <x:tableColumn id="18" name="expected_missing_info"/>
    <x:tableColumn id="19" name="expected_next_action"/>
    <x:tableColumn id="20" name="expected_checked"/>
    <x:tableColumn id="21" name="expected_not_checked"/>
    <x:tableColumn id="22" name="knowledge_package"/>
    <x:tableColumn id="23" name="rule_version"/>
    <x:tableColumn id="24" name="gold_rationale"/>
    <x:tableColumn id="25" name="source_url"/>
    <x:tableColumn id="26" name="difficulty"/>
    <x:tableColumn id="27" name="t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aluationResults" displayName="EvaluationResults" ref="A4:O16" headerRowCount="1" totalsRowCount="0" totalsRowShown="0">
  <x:tableColumns count="15">
    <x:tableColumn id="1" name="test_id"/>
    <x:tableColumn id="2" name="expected_status"/>
    <x:tableColumn id="3" name="actual_status"/>
    <x:tableColumn id="4" name="status_score"/>
    <x:tableColumn id="5" name="expected_issue_type"/>
    <x:tableColumn id="6" name="actual_issue_type"/>
    <x:tableColumn id="7" name="issue_score"/>
    <x:tableColumn id="8" name="expected_next_action"/>
    <x:tableColumn id="9" name="actual_next_action"/>
    <x:tableColumn id="10" name="action_score"/>
    <x:tableColumn id="11" name="actual_extracted_text"/>
    <x:tableColumn id="12" name="ocr_key_score"/>
    <x:tableColumn id="13" name="latency_ms"/>
    <x:tableColumn id="14" name="error_notes"/>
    <x:tableColumn id="15" name="overall_pa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sterIndex" displayName="PosterIndex" ref="A4:F16" headerRowCount="1" totalsRowCount="0" totalsRowShown="0">
  <x:tableColumns count="6">
    <x:tableColumn id="1" name="test_id"/>
    <x:tableColumn id="2" name="title"/>
    <x:tableColumn id="3" name="expected_status"/>
    <x:tableColumn id="4" name="image_file"/>
    <x:tableColumn id="5" name="poster_visible_text_gold"/>
    <x:tableColumn id="6" name="difficul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554e75c20341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17afd6ea3c49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3c4d408d944c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145" t="str">
        <x:v>Canva AI 海报文字合规审核｜小型测试集</x:v>
      </x:c>
      <x:c r="B1" s="145"/>
      <x:c r="C1" s="145"/>
      <x:c r="D1" s="145"/>
      <x:c r="E1" s="145"/>
      <x:c r="F1" s="145"/>
      <x:c r="G1" s="145"/>
      <x:c r="H1" s="145"/>
    </x:row>
    <x:row r="2" ht="27" customHeight="1">
      <x:c r="A2" s="146" t="str">
        <x:v>12 个端到端 gold cases：审核对象是生成或上传海报中的可见文字，不审核用户 Prompt。</x:v>
      </x:c>
      <x:c r="B2" s="146"/>
      <x:c r="C2" s="146"/>
      <x:c r="D2" s="146"/>
      <x:c r="E2" s="146"/>
      <x:c r="F2" s="146"/>
      <x:c r="G2" s="146"/>
      <x:c r="H2" s="146"/>
    </x:row>
    <x:row r="3">
      <x:c r="A3" s="189"/>
      <x:c r="B3" s="189"/>
      <x:c r="C3" s="189"/>
      <x:c r="D3" s="189"/>
      <x:c r="E3" s="189"/>
      <x:c r="F3" s="189"/>
      <x:c r="G3" s="189"/>
      <x:c r="H3" s="189"/>
    </x:row>
    <x:row r="4">
      <x:c r="A4" s="190" t="str">
        <x:v>数据集范围</x:v>
      </x:c>
      <x:c r="B4" s="191" t="str">
        <x:v>Australia</x:v>
      </x:c>
      <x:c r="C4" s="191" t="str">
        <x:v>行业</x:v>
      </x:c>
      <x:c r="D4" s="191" t="str">
        <x:v>Beauty</x:v>
      </x:c>
      <x:c r="E4" s="191" t="str">
        <x:v>内容格式</x:v>
      </x:c>
      <x:c r="F4" s="191" t="str">
        <x:v>Poster image</x:v>
      </x:c>
      <x:c r="G4" s="191" t="str">
        <x:v>用例数</x:v>
      </x:c>
      <x:c r="H4" s="192" t="n">
        <x:v>12</x:v>
      </x:c>
    </x:row>
    <x:row r="5">
      <x:c r="A5" s="189"/>
      <x:c r="B5" s="189"/>
      <x:c r="C5" s="189"/>
      <x:c r="D5" s="189"/>
      <x:c r="E5" s="189"/>
      <x:c r="F5" s="189"/>
      <x:c r="G5" s="189"/>
      <x:c r="H5" s="189"/>
    </x:row>
    <x:row r="6">
      <x:c r="A6" s="151" t="str">
        <x:v>Ready to run</x:v>
      </x:c>
      <x:c r="B6" s="152"/>
      <x:c r="C6" s="153" t="str">
        <x:v>Fix before running</x:v>
      </x:c>
      <x:c r="D6" s="154"/>
      <x:c r="E6" s="155" t="str">
        <x:v>Needs your input</x:v>
      </x:c>
      <x:c r="F6" s="156"/>
      <x:c r="G6" s="157" t="str">
        <x:v>Outside scope</x:v>
      </x:c>
      <x:c r="H6" s="158"/>
    </x:row>
    <x:row r="7">
      <x:c r="A7" s="159" t="n">
        <x:f>COUNTIF('测试用例'!$N$5:$N$16,"Ready to run")</x:f>
        <x:v>3</x:v>
      </x:c>
      <x:c r="B7" s="160"/>
      <x:c r="C7" s="161" t="n">
        <x:f>COUNTIF('测试用例'!$N$5:$N$16,"Fix before running")</x:f>
        <x:v>4</x:v>
      </x:c>
      <x:c r="D7" s="162"/>
      <x:c r="E7" s="163" t="n">
        <x:f>COUNTIF('测试用例'!$N$5:$N$16,"Needs your input")</x:f>
        <x:v>4</x:v>
      </x:c>
      <x:c r="F7" s="164"/>
      <x:c r="G7" s="165" t="n">
        <x:f>COUNTIF('测试用例'!$N$5:$N$16,"Outside scope")</x:f>
        <x:v>1</x:v>
      </x:c>
      <x:c r="H7" s="166"/>
    </x:row>
    <x:row r="8">
      <x:c r="A8" s="167"/>
      <x:c r="B8" s="168"/>
      <x:c r="C8" s="169"/>
      <x:c r="D8" s="170"/>
      <x:c r="E8" s="171"/>
      <x:c r="F8" s="172"/>
      <x:c r="G8" s="173"/>
      <x:c r="H8" s="174"/>
    </x:row>
    <x:row r="9">
      <x:c r="A9" s="189"/>
      <x:c r="B9" s="189"/>
      <x:c r="C9" s="189"/>
      <x:c r="D9" s="189"/>
      <x:c r="E9" s="189"/>
      <x:c r="F9" s="189"/>
      <x:c r="G9" s="189"/>
      <x:c r="H9" s="189"/>
    </x:row>
    <x:row r="10">
      <x:c r="A10" s="193" t="str">
        <x:v>如何使用</x:v>
      </x:c>
      <x:c r="B10" s="193"/>
      <x:c r="C10" s="193"/>
      <x:c r="D10" s="193"/>
      <x:c r="E10" s="193"/>
      <x:c r="F10" s="193"/>
      <x:c r="G10" s="193"/>
      <x:c r="H10" s="193"/>
    </x:row>
    <x:row r="11" ht="34" customHeight="1">
      <x:c r="A11" s="176" t="str">
        <x:v>1</x:v>
      </x:c>
      <x:c r="B11" s="177" t="str">
        <x:v>从 images 文件夹读取海报图片，并将同一行 Context 一起发送给模型。</x:v>
      </x:c>
      <x:c r="C11" s="178" t="str"/>
      <x:c r="D11" s="178" t="str"/>
      <x:c r="E11" s="178" t="str"/>
      <x:c r="F11" s="178" t="str"/>
      <x:c r="G11" s="178" t="str"/>
      <x:c r="H11" s="179" t="str"/>
    </x:row>
    <x:row r="12" ht="34" customHeight="1">
      <x:c r="A12" s="176" t="str">
        <x:v>2</x:v>
      </x:c>
      <x:c r="B12" s="180" t="str">
        <x:v>要求模型返回：extracted_text、status、issue_type、flagged_text、missing_info、next_action。</x:v>
      </x:c>
      <x:c r="C12" s="181" t="str"/>
      <x:c r="D12" s="181" t="str"/>
      <x:c r="E12" s="181" t="str"/>
      <x:c r="F12" s="181" t="str"/>
      <x:c r="G12" s="181" t="str"/>
      <x:c r="H12" s="182" t="str"/>
    </x:row>
    <x:row r="13" ht="34" customHeight="1">
      <x:c r="A13" s="176" t="str">
        <x:v>3</x:v>
      </x:c>
      <x:c r="B13" s="180" t="str">
        <x:v>把实际输出填写到“评测结果”黄色输入列，得分列会自动比较。OCR 关键文本采用人工 0/1 评分。</x:v>
      </x:c>
      <x:c r="C13" s="181" t="str"/>
      <x:c r="D13" s="181" t="str"/>
      <x:c r="E13" s="181" t="str"/>
      <x:c r="F13" s="181" t="str"/>
      <x:c r="G13" s="181" t="str"/>
      <x:c r="H13" s="182" t="str"/>
    </x:row>
    <x:row r="14" ht="34" customHeight="1">
      <x:c r="A14" s="176" t="str">
        <x:v>4</x:v>
      </x:c>
      <x:c r="B14" s="180" t="str">
        <x:v>内容或 Context 改变后必须重新检测；应用改写本身不等于通过。</x:v>
      </x:c>
      <x:c r="C14" s="181" t="str"/>
      <x:c r="D14" s="181" t="str"/>
      <x:c r="E14" s="181" t="str"/>
      <x:c r="F14" s="181" t="str"/>
      <x:c r="G14" s="181" t="str"/>
      <x:c r="H14" s="182" t="str"/>
    </x:row>
    <x:row r="15" ht="34" customHeight="1">
      <x:c r="A15" s="176" t="str">
        <x:v>5</x:v>
      </x:c>
      <x:c r="B15" s="183" t="str">
        <x:v>测试集用于产品与模型验证，不替代法律意见；上线前由合规负责人复核 gold labels。</x:v>
      </x:c>
      <x:c r="C15" s="184" t="str"/>
      <x:c r="D15" s="184" t="str"/>
      <x:c r="E15" s="184" t="str"/>
      <x:c r="F15" s="184" t="str"/>
      <x:c r="G15" s="184" t="str"/>
      <x:c r="H15" s="185" t="str"/>
    </x:row>
    <x:row r="16">
      <x:c r="A16" s="189"/>
      <x:c r="B16" s="189"/>
      <x:c r="C16" s="189"/>
      <x:c r="D16" s="189"/>
      <x:c r="E16" s="189"/>
      <x:c r="F16" s="189"/>
      <x:c r="G16" s="189"/>
      <x:c r="H16" s="189"/>
    </x:row>
    <x:row r="17">
      <x:c r="A17" s="194" t="str">
        <x:v>覆盖说明与依据</x:v>
      </x:c>
      <x:c r="B17" s="194"/>
      <x:c r="C17" s="194"/>
      <x:c r="D17" s="194"/>
      <x:c r="E17" s="194"/>
      <x:c r="F17" s="194"/>
      <x:c r="G17" s="194"/>
      <x:c r="H17" s="194"/>
    </x:row>
    <x:row r="18">
      <x:c r="A18" s="195" t="str">
        <x:v>已检查</x:v>
      </x:c>
      <x:c r="B18" s="196" t="str">
        <x:v>Australia law · Beauty · Product regulation · Poster text</x:v>
      </x:c>
      <x:c r="C18" s="196" t="str"/>
      <x:c r="D18" s="196" t="str"/>
      <x:c r="E18" s="196" t="str"/>
      <x:c r="F18" s="196" t="str"/>
      <x:c r="G18" s="196" t="str"/>
      <x:c r="H18" s="196" t="str"/>
    </x:row>
    <x:row r="19">
      <x:c r="A19" s="195" t="str">
        <x:v>默认未检查</x:v>
      </x:c>
      <x:c r="B19" s="196" t="str">
        <x:v>Platform policy · Non-text visual claims · Landing page</x:v>
      </x:c>
      <x:c r="C19" s="196" t="str"/>
      <x:c r="D19" s="196" t="str"/>
      <x:c r="E19" s="196" t="str"/>
      <x:c r="F19" s="196" t="str"/>
      <x:c r="G19" s="196" t="str"/>
      <x:c r="H19" s="196" t="str"/>
    </x:row>
    <x:row r="20">
      <x:c r="A20" s="195" t="str">
        <x:v>主要依据 1</x:v>
      </x:c>
      <x:c r="B20" s="196" t="str">
        <x:v>TGA — Determining if your product is a cosmetic or therapeutic good</x:v>
      </x:c>
      <x:c r="C20" s="196" t="str"/>
      <x:c r="D20" s="196" t="str"/>
      <x:c r="E20" s="196" t="str"/>
      <x:c r="F20" s="196" t="str"/>
      <x:c r="G20" s="196" t="str"/>
      <x:c r="H20" s="196" t="str"/>
    </x:row>
    <x:row r="21">
      <x:c r="A21" s="195" t="str">
        <x:v>主要依据 2</x:v>
      </x:c>
      <x:c r="B21" s="196" t="str">
        <x:v>TGA — Mandatory statements and general advertising requirements</x:v>
      </x:c>
      <x:c r="C21" s="196" t="str"/>
      <x:c r="D21" s="196" t="str"/>
      <x:c r="E21" s="196" t="str"/>
      <x:c r="F21" s="196" t="str"/>
      <x:c r="G21" s="196" t="str"/>
      <x:c r="H21" s="196" t="str"/>
    </x:row>
  </x:sheetData>
  <x:mergeCells>
    <x:mergeCell ref="A1:H1"/>
    <x:mergeCell ref="A2:H2"/>
    <x:mergeCell ref="A6:B6"/>
    <x:mergeCell ref="C6:D6"/>
    <x:mergeCell ref="E6:F6"/>
    <x:mergeCell ref="G6:H6"/>
    <x:mergeCell ref="A7:B8"/>
    <x:mergeCell ref="C7:D8"/>
    <x:mergeCell ref="E7:F8"/>
    <x:mergeCell ref="G7:H8"/>
    <x:mergeCell ref="A10:H10"/>
    <x:mergeCell ref="B11:H11"/>
    <x:mergeCell ref="B12:H12"/>
    <x:mergeCell ref="B13:H13"/>
    <x:mergeCell ref="B14:H14"/>
    <x:mergeCell ref="B15:H15"/>
    <x:mergeCell ref="A17:H17"/>
    <x:mergeCell ref="B18:H18"/>
    <x:mergeCell ref="B19:H19"/>
    <x:mergeCell ref="B20:H20"/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2" hidden="0" customWidth="1"/>
    <x:col min="14" max="14" width="20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48" hidden="0" customWidth="1"/>
    <x:col min="25" max="25" width="46" hidden="0" customWidth="1"/>
    <x:col min="26" max="26" width="16" hidden="0" customWidth="1"/>
    <x:col min="27" max="27" width="16" hidden="0" customWidth="1"/>
  </x:cols>
  <x:sheetData>
    <x:row r="1" ht="34" customHeight="1">
      <x:c r="A1" s="145" t="str">
        <x:v>Gold Test Cases</x:v>
      </x:c>
      <x:c r="B1" s="145"/>
      <x:c r="C1" s="145"/>
      <x:c r="D1" s="145"/>
      <x:c r="E1" s="145"/>
      <x:c r="F1" s="145"/>
      <x:c r="G1" s="145"/>
      <x:c r="H1" s="145"/>
      <x:c r="I1" s="145"/>
      <x:c r="J1" s="145"/>
      <x:c r="K1" s="145"/>
      <x:c r="L1" s="145"/>
      <x:c r="M1" s="145"/>
      <x:c r="N1" s="145"/>
      <x:c r="O1" s="145"/>
      <x:c r="P1" s="145"/>
      <x:c r="Q1" s="145"/>
      <x:c r="R1" s="145"/>
      <x:c r="S1" s="145"/>
      <x:c r="T1" s="145"/>
      <x:c r="U1" s="145"/>
      <x:c r="V1" s="145"/>
      <x:c r="W1" s="145"/>
      <x:c r="X1" s="145"/>
      <x:c r="Y1" s="145"/>
      <x:c r="Z1" s="145"/>
      <x:c r="AA1" s="145"/>
    </x:row>
    <x:row r="2" ht="27" customHeight="1">
      <x:c r="A2" s="146" t="str">
        <x:v>一行一个海报案例；expected_* 为预期标签，source_url 用于规则复核。</x:v>
      </x:c>
      <x:c r="B2" s="146"/>
      <x:c r="C2" s="146"/>
      <x:c r="D2" s="146"/>
      <x:c r="E2" s="146"/>
      <x:c r="F2" s="146"/>
      <x:c r="G2" s="146"/>
      <x:c r="H2" s="146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  <x:c r="AA2" s="146"/>
    </x:row>
    <x:row r="3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  <x:c r="M3" s="147"/>
      <x:c r="N3" s="147"/>
      <x:c r="O3" s="147"/>
      <x:c r="P3" s="147"/>
      <x:c r="Q3" s="147"/>
      <x:c r="R3" s="147"/>
      <x:c r="S3" s="147"/>
      <x:c r="T3" s="147"/>
      <x:c r="U3" s="147"/>
      <x:c r="V3" s="147"/>
      <x:c r="W3" s="147"/>
      <x:c r="X3" s="147"/>
      <x:c r="Y3" s="147"/>
      <x:c r="Z3" s="147"/>
      <x:c r="AA3" s="147"/>
    </x:row>
    <x:row r="4">
      <x:c r="A4" s="219" t="str">
        <x:v>test_id</x:v>
      </x:c>
      <x:c r="B4" s="219" t="str">
        <x:v>title</x:v>
      </x:c>
      <x:c r="C4" s="219" t="str">
        <x:v>image_file</x:v>
      </x:c>
      <x:c r="D4" s="219" t="str">
        <x:v>country</x:v>
      </x:c>
      <x:c r="E4" s="219" t="str">
        <x:v>industry</x:v>
      </x:c>
      <x:c r="F4" s="219" t="str">
        <x:v>product_type</x:v>
      </x:c>
      <x:c r="G4" s="219" t="str">
        <x:v>product_regulation</x:v>
      </x:c>
      <x:c r="H4" s="219" t="str">
        <x:v>channel</x:v>
      </x:c>
      <x:c r="I4" s="219" t="str">
        <x:v>content_format</x:v>
      </x:c>
      <x:c r="J4" s="219" t="str">
        <x:v>content_origin</x:v>
      </x:c>
      <x:c r="K4" s="219" t="str">
        <x:v>text_layer_available</x:v>
      </x:c>
      <x:c r="L4" s="219" t="str">
        <x:v>supporting_evidence</x:v>
      </x:c>
      <x:c r="M4" s="219" t="str">
        <x:v>poster_visible_text_gold</x:v>
      </x:c>
      <x:c r="N4" s="219" t="str">
        <x:v>expected_status</x:v>
      </x:c>
      <x:c r="O4" s="219" t="str">
        <x:v>expected_trigger</x:v>
      </x:c>
      <x:c r="P4" s="219" t="str">
        <x:v>expected_issue_type</x:v>
      </x:c>
      <x:c r="Q4" s="219" t="str">
        <x:v>expected_flagged_text</x:v>
      </x:c>
      <x:c r="R4" s="219" t="str">
        <x:v>expected_missing_info</x:v>
      </x:c>
      <x:c r="S4" s="219" t="str">
        <x:v>expected_next_action</x:v>
      </x:c>
      <x:c r="T4" s="219" t="str">
        <x:v>expected_checked</x:v>
      </x:c>
      <x:c r="U4" s="219" t="str">
        <x:v>expected_not_checked</x:v>
      </x:c>
      <x:c r="V4" s="219" t="str">
        <x:v>knowledge_package</x:v>
      </x:c>
      <x:c r="W4" s="219" t="str">
        <x:v>rule_version</x:v>
      </x:c>
      <x:c r="X4" s="219" t="str">
        <x:v>gold_rationale</x:v>
      </x:c>
      <x:c r="Y4" s="219" t="str">
        <x:v>source_url</x:v>
      </x:c>
      <x:c r="Z4" s="219" t="str">
        <x:v>difficulty</x:v>
      </x:c>
      <x:c r="AA4" s="219" t="str">
        <x:v>tags</x:v>
      </x:c>
    </x:row>
    <x:row r="5" ht="72" customHeight="1">
      <x:c r="A5" s="220" t="str">
        <x:v>AU-001</x:v>
      </x:c>
      <x:c r="B5" s="220" t="str">
        <x:v>团队偏好表达，正常放行</x:v>
      </x:c>
      <x:c r="C5" s="220" t="str">
        <x:v>images/AU-001.png</x:v>
      </x:c>
      <x:c r="D5" s="220" t="str">
        <x:v>Australia</x:v>
      </x:c>
      <x:c r="E5" s="220" t="str">
        <x:v>Beauty</x:v>
      </x:c>
      <x:c r="F5" s="220" t="str">
        <x:v>Face moisturiser</x:v>
      </x:c>
      <x:c r="G5" s="220" t="str">
        <x:v>Cosmetic</x:v>
      </x:c>
      <x:c r="H5" s="220" t="str">
        <x:v>Instagram</x:v>
      </x:c>
      <x:c r="I5" s="220" t="str">
        <x:v>Poster image</x:v>
      </x:c>
      <x:c r="J5" s="220" t="str">
        <x:v>Canva generated</x:v>
      </x:c>
      <x:c r="K5" s="221" t="b">
        <x:v>1</x:v>
      </x:c>
      <x:c r="L5" s="220" t="str">
        <x:v>Not required</x:v>
      </x:c>
      <x:c r="M5" s="220" t="str">
        <x:v>OUR TEAM'S FAVOURITE FORMULA | With niacinamide and vitamin E | Gentle care for everyday use | LUMEA DAILY MOISTURISER</x:v>
      </x:c>
      <x:c r="N5" s="220" t="str">
        <x:v>Ready to run</x:v>
      </x:c>
      <x:c r="O5" s="220" t="str">
        <x:v>Poster render completed</x:v>
      </x:c>
      <x:c r="P5" s="220" t="str">
        <x:v>Checked and fine</x:v>
      </x:c>
      <x:c r="Q5" s="220" t="str"/>
      <x:c r="R5" s="220" t="str"/>
      <x:c r="S5" s="220" t="str">
        <x:v>Allow download, publish or continue</x:v>
      </x:c>
      <x:c r="T5" s="220" t="str">
        <x:v>Australia law · Beauty · Cosmetic · Poster text</x:v>
      </x:c>
      <x:c r="U5" s="220" t="str">
        <x:v>Platform policy · Non-text visual claims · Landing page</x:v>
      </x:c>
      <x:c r="V5" s="220" t="str">
        <x:v>AU-BEA-POSTER</x:v>
      </x:c>
      <x:c r="W5" s="220" t="str">
        <x:v>v1.0-demo</x:v>
      </x:c>
      <x:c r="X5" s="220" t="str">
        <x:v>Preference wording and ingredient-only wording do not state a therapeutic outcome in this test context.</x:v>
      </x:c>
      <x:c r="Y5" s="220" t="str">
        <x:v>https://www.tga.gov.au/resources/guidance/determining-if-your-product-cosmetic-or-therapeutic-good</x:v>
      </x:c>
      <x:c r="Z5" s="220" t="str">
        <x:v>Easy</x:v>
      </x:c>
      <x:c r="AA5" s="220" t="str">
        <x:v>ready,checked-and-fine,cosmetic</x:v>
      </x:c>
    </x:row>
    <x:row r="6" ht="72" customHeight="1">
      <x:c r="A6" s="220" t="str">
        <x:v>AU-002</x:v>
      </x:c>
      <x:c r="B6" s="220" t="str">
        <x:v>AUST L 缺少强制声明</x:v>
      </x:c>
      <x:c r="C6" s="220" t="str">
        <x:v>images/AU-002.png</x:v>
      </x:c>
      <x:c r="D6" s="220" t="str">
        <x:v>Australia</x:v>
      </x:c>
      <x:c r="E6" s="220" t="str">
        <x:v>Beauty</x:v>
      </x:c>
      <x:c r="F6" s="220" t="str">
        <x:v>Beauty supplement</x:v>
      </x:c>
      <x:c r="G6" s="220" t="str">
        <x:v>AUST L Listed Medicine</x:v>
      </x:c>
      <x:c r="H6" s="220" t="str">
        <x:v>Instagram</x:v>
      </x:c>
      <x:c r="I6" s="220" t="str">
        <x:v>Poster image</x:v>
      </x:c>
      <x:c r="J6" s="220" t="str">
        <x:v>Canva generated</x:v>
      </x:c>
      <x:c r="K6" s="221" t="b">
        <x:v>1</x:v>
      </x:c>
      <x:c r="L6" s="220" t="str">
        <x:v>ARTG indication supplied</x:v>
      </x:c>
      <x:c r="M6" s="220" t="str">
        <x:v>SUPPORTS IMMUNE HEALTH | Daily wellness support | AUST L 345678 | VITAGLOW IMMUNE SUPPORT</x:v>
      </x:c>
      <x:c r="N6" s="220" t="str">
        <x:v>Fix before running</x:v>
      </x:c>
      <x:c r="O6" s="220" t="str">
        <x:v>Poster render completed</x:v>
      </x:c>
      <x:c r="P6" s="220" t="str">
        <x:v>Missing mandatory statement</x:v>
      </x:c>
      <x:c r="Q6" s="220" t="str">
        <x:v>Advertisement lacks mandatory statement</x:v>
      </x:c>
      <x:c r="R6" s="220" t="str"/>
      <x:c r="S6" s="220" t="str">
        <x:v>Add the required label and directions statement, then re-check</x:v>
      </x:c>
      <x:c r="T6" s="220" t="str">
        <x:v>Australia law · Beauty · AUST L · Poster text</x:v>
      </x:c>
      <x:c r="U6" s="220" t="str">
        <x:v>Platform policy · Non-text visual claims · Landing page</x:v>
      </x:c>
      <x:c r="V6" s="220" t="str">
        <x:v>AU-BEA-POSTER</x:v>
      </x:c>
      <x:c r="W6" s="220" t="str">
        <x:v>v1.0-demo</x:v>
      </x:c>
      <x:c r="X6" s="220" t="str">
        <x:v>The listed-medicine poster omits the required short-form mandatory statement used by the demo rule package.</x:v>
      </x:c>
      <x:c r="Y6" s="220" t="str">
        <x:v>https://www.tga.gov.au/products/regulations-all-products/advertising/applying-advertising-code/mandatory-statements-and-other-information-required-advertising</x:v>
      </x:c>
      <x:c r="Z6" s="220" t="str">
        <x:v>Medium</x:v>
      </x:c>
      <x:c r="AA6" s="220" t="str">
        <x:v>fix,mandatory-disclosure,aust-l</x:v>
      </x:c>
    </x:row>
    <x:row r="7" ht="72" customHeight="1">
      <x:c r="A7" s="220" t="str">
        <x:v>AU-003</x:v>
      </x:c>
      <x:c r="B7" s="220" t="str">
        <x:v>AUST L 强制声明齐全</x:v>
      </x:c>
      <x:c r="C7" s="220" t="str">
        <x:v>images/AU-003.png</x:v>
      </x:c>
      <x:c r="D7" s="220" t="str">
        <x:v>Australia</x:v>
      </x:c>
      <x:c r="E7" s="220" t="str">
        <x:v>Beauty</x:v>
      </x:c>
      <x:c r="F7" s="220" t="str">
        <x:v>Beauty supplement</x:v>
      </x:c>
      <x:c r="G7" s="220" t="str">
        <x:v>AUST L Listed Medicine</x:v>
      </x:c>
      <x:c r="H7" s="220" t="str">
        <x:v>Instagram</x:v>
      </x:c>
      <x:c r="I7" s="220" t="str">
        <x:v>Poster image</x:v>
      </x:c>
      <x:c r="J7" s="220" t="str">
        <x:v>Canva generated</x:v>
      </x:c>
      <x:c r="K7" s="221" t="b">
        <x:v>1</x:v>
      </x:c>
      <x:c r="L7" s="220" t="str">
        <x:v>ARTG indication supplied</x:v>
      </x:c>
      <x:c r="M7" s="220" t="str">
        <x:v>SUPPORTS IMMUNE HEALTH | Daily wellness support | AUST L 345678 | Always read the label and follow the directions for use</x:v>
      </x:c>
      <x:c r="N7" s="220" t="str">
        <x:v>Ready to run</x:v>
      </x:c>
      <x:c r="O7" s="220" t="str">
        <x:v>Poster render completed</x:v>
      </x:c>
      <x:c r="P7" s="220" t="str">
        <x:v>Checked and fine</x:v>
      </x:c>
      <x:c r="Q7" s="220" t="str"/>
      <x:c r="R7" s="220" t="str"/>
      <x:c r="S7" s="220" t="str">
        <x:v>Allow download, publish or continue</x:v>
      </x:c>
      <x:c r="T7" s="220" t="str">
        <x:v>Australia law · Beauty · AUST L · Poster text</x:v>
      </x:c>
      <x:c r="U7" s="220" t="str">
        <x:v>Platform policy · Non-text visual claims · Landing page</x:v>
      </x:c>
      <x:c r="V7" s="220" t="str">
        <x:v>AU-BEA-POSTER</x:v>
      </x:c>
      <x:c r="W7" s="220" t="str">
        <x:v>v1.0-demo</x:v>
      </x:c>
      <x:c r="X7" s="220" t="str">
        <x:v>The test claim is assumed consistent with supplied ARTG context and the mandatory statement is visible.</x:v>
      </x:c>
      <x:c r="Y7" s="220" t="str">
        <x:v>https://www.tga.gov.au/products/regulations-all-products/advertising/applying-advertising-code/mandatory-statements-and-other-information-required-advertising</x:v>
      </x:c>
      <x:c r="Z7" s="220" t="str">
        <x:v>Medium</x:v>
      </x:c>
      <x:c r="AA7" s="220" t="str">
        <x:v>ready,mandatory-disclosure,aust-l</x:v>
      </x:c>
    </x:row>
    <x:row r="8" ht="72" customHeight="1">
      <x:c r="A8" s="220" t="str">
        <x:v>AU-004</x:v>
      </x:c>
      <x:c r="B8" s="220" t="str">
        <x:v>监管身份不确定且含功效声称</x:v>
      </x:c>
      <x:c r="C8" s="220" t="str">
        <x:v>images/AU-004.png</x:v>
      </x:c>
      <x:c r="D8" s="220" t="str">
        <x:v>Australia</x:v>
      </x:c>
      <x:c r="E8" s="220" t="str">
        <x:v>Beauty</x:v>
      </x:c>
      <x:c r="F8" s="220" t="str">
        <x:v>Skin serum</x:v>
      </x:c>
      <x:c r="G8" s="220" t="str">
        <x:v>Not sure</x:v>
      </x:c>
      <x:c r="H8" s="220" t="str">
        <x:v>Instagram</x:v>
      </x:c>
      <x:c r="I8" s="220" t="str">
        <x:v>Poster image</x:v>
      </x:c>
      <x:c r="J8" s="220" t="str">
        <x:v>Canva generated</x:v>
      </x:c>
      <x:c r="K8" s="221" t="b">
        <x:v>1</x:v>
      </x:c>
      <x:c r="L8" s="220" t="str">
        <x:v>Not provided</x:v>
      </x:c>
      <x:c r="M8" s="220" t="str">
        <x:v>REPAIRS DAMAGED SKIN IN 7 DAYS | Clinically proven formula | Visible renewal from within | DERMA RENEW SERUM</x:v>
      </x:c>
      <x:c r="N8" s="220" t="str">
        <x:v>Needs your input</x:v>
      </x:c>
      <x:c r="O8" s="220" t="str">
        <x:v>Poster render completed</x:v>
      </x:c>
      <x:c r="P8" s="220" t="str">
        <x:v>Product classification required</x:v>
      </x:c>
      <x:c r="Q8" s="220" t="str">
        <x:v>Repairs damaged skin in 7 days</x:v>
      </x:c>
      <x:c r="R8" s="220" t="str">
        <x:v>Confirm Cosmetic or Therapeutic Good; provide claim evidence</x:v>
      </x:c>
      <x:c r="S8" s="220" t="str">
        <x:v>Ask for product regulation and supporting evidence</x:v>
      </x:c>
      <x:c r="T8" s="220" t="str">
        <x:v>Australia law · Beauty · Poster text</x:v>
      </x:c>
      <x:c r="U8" s="220" t="str">
        <x:v>Final product regulation rule set · Platform policy · Landing page</x:v>
      </x:c>
      <x:c r="V8" s="220" t="str">
        <x:v>AU-BEA-POSTER</x:v>
      </x:c>
      <x:c r="W8" s="220" t="str">
        <x:v>v1.0-demo</x:v>
      </x:c>
      <x:c r="X8" s="220" t="str">
        <x:v>The wording may cross the cosmetic and therapeutic boundary, so the system should ask rather than guess.</x:v>
      </x:c>
      <x:c r="Y8" s="220" t="str">
        <x:v>https://www.tga.gov.au/resources/guidance/determining-if-your-product-cosmetic-or-therapeutic-good</x:v>
      </x:c>
      <x:c r="Z8" s="220" t="str">
        <x:v>Hard</x:v>
      </x:c>
      <x:c r="AA8" s="220" t="str">
        <x:v>needs-input,classification,boundary</x:v>
      </x:c>
    </x:row>
    <x:row r="9" ht="72" customHeight="1">
      <x:c r="A9" s="220" t="str">
        <x:v>AU-005</x:v>
      </x:c>
      <x:c r="B9" s="220" t="str">
        <x:v>临床数据声称但未提供证据</x:v>
      </x:c>
      <x:c r="C9" s="220" t="str">
        <x:v>images/AU-005.png</x:v>
      </x:c>
      <x:c r="D9" s="220" t="str">
        <x:v>Australia</x:v>
      </x:c>
      <x:c r="E9" s="220" t="str">
        <x:v>Beauty</x:v>
      </x:c>
      <x:c r="F9" s="220" t="str">
        <x:v>Hydrating serum</x:v>
      </x:c>
      <x:c r="G9" s="220" t="str">
        <x:v>Cosmetic</x:v>
      </x:c>
      <x:c r="H9" s="220" t="str">
        <x:v>Instagram</x:v>
      </x:c>
      <x:c r="I9" s="220" t="str">
        <x:v>Poster image</x:v>
      </x:c>
      <x:c r="J9" s="220" t="str">
        <x:v>Canva generated</x:v>
      </x:c>
      <x:c r="K9" s="221" t="b">
        <x:v>1</x:v>
      </x:c>
      <x:c r="L9" s="220" t="str">
        <x:v>Not provided</x:v>
      </x:c>
      <x:c r="M9" s="220" t="str">
        <x:v>42% MORE HYDRATION | Clinically proven after one use | Powered by hyaluronic acid | AQUA BOOST SERUM</x:v>
      </x:c>
      <x:c r="N9" s="220" t="str">
        <x:v>Needs your input</x:v>
      </x:c>
      <x:c r="O9" s="220" t="str">
        <x:v>Poster render completed</x:v>
      </x:c>
      <x:c r="P9" s="220" t="str">
        <x:v>Supporting evidence required</x:v>
      </x:c>
      <x:c r="Q9" s="220" t="str">
        <x:v>42% more hydration; Clinically proven</x:v>
      </x:c>
      <x:c r="R9" s="220" t="str">
        <x:v>Study or substantiation for the quantified clinical claim</x:v>
      </x:c>
      <x:c r="S9" s="220" t="str">
        <x:v>Upload or link supporting evidence, or remove the claim</x:v>
      </x:c>
      <x:c r="T9" s="220" t="str">
        <x:v>Australia law · Beauty · Cosmetic · Poster text</x:v>
      </x:c>
      <x:c r="U9" s="220" t="str">
        <x:v>Evidence validity until supplied · Platform policy · Landing page</x:v>
      </x:c>
      <x:c r="V9" s="220" t="str">
        <x:v>AU-BEA-POSTER</x:v>
      </x:c>
      <x:c r="W9" s="220" t="str">
        <x:v>v1.0-demo</x:v>
      </x:c>
      <x:c r="X9" s="220" t="str">
        <x:v>A quantified clinical representation cannot be verified without supporting evidence.</x:v>
      </x:c>
      <x:c r="Y9" s="220" t="str">
        <x:v>https://www.tga.gov.au/products/regulations-all-products/advertising/applying-advertising-code/general-requirements-advertising-therapeutic-goods-public</x:v>
      </x:c>
      <x:c r="Z9" s="220" t="str">
        <x:v>Medium</x:v>
      </x:c>
      <x:c r="AA9" s="220" t="str">
        <x:v>needs-input,evidence,clinical-claim</x:v>
      </x:c>
    </x:row>
    <x:row r="10" ht="72" customHeight="1">
      <x:c r="A10" s="220" t="str">
        <x:v>AU-006</x:v>
      </x:c>
      <x:c r="B10" s="220" t="str">
        <x:v>化妆品出现治疗型声称</x:v>
      </x:c>
      <x:c r="C10" s="220" t="str">
        <x:v>images/AU-006.png</x:v>
      </x:c>
      <x:c r="D10" s="220" t="str">
        <x:v>Australia</x:v>
      </x:c>
      <x:c r="E10" s="220" t="str">
        <x:v>Beauty</x:v>
      </x:c>
      <x:c r="F10" s="220" t="str">
        <x:v>Body lotion</x:v>
      </x:c>
      <x:c r="G10" s="220" t="str">
        <x:v>Cosmetic</x:v>
      </x:c>
      <x:c r="H10" s="220" t="str">
        <x:v>Instagram</x:v>
      </x:c>
      <x:c r="I10" s="220" t="str">
        <x:v>Poster image</x:v>
      </x:c>
      <x:c r="J10" s="220" t="str">
        <x:v>Canva generated</x:v>
      </x:c>
      <x:c r="K10" s="221" t="b">
        <x:v>1</x:v>
      </x:c>
      <x:c r="L10" s="220" t="str">
        <x:v>Not applicable</x:v>
      </x:c>
      <x:c r="M10" s="220" t="str">
        <x:v>TREATS ECZEMA | Repairs damaged skin at the cellular level | Fast relief from inflammation | CALM SKIN LOTION</x:v>
      </x:c>
      <x:c r="N10" s="220" t="str">
        <x:v>Fix before running</x:v>
      </x:c>
      <x:c r="O10" s="220" t="str">
        <x:v>Poster render completed</x:v>
      </x:c>
      <x:c r="P10" s="220" t="str">
        <x:v>Regulatory boundary trigger</x:v>
      </x:c>
      <x:c r="Q10" s="220" t="str">
        <x:v>Treats eczema; Repairs damaged skin at the cellular level</x:v>
      </x:c>
      <x:c r="R10" s="220" t="str"/>
      <x:c r="S10" s="220" t="str">
        <x:v>Remove therapeutic wording or reclassify and re-check</x:v>
      </x:c>
      <x:c r="T10" s="220" t="str">
        <x:v>Australia law · Beauty · Cosmetic · Poster text</x:v>
      </x:c>
      <x:c r="U10" s="220" t="str">
        <x:v>Platform policy · Product registration validity · Landing page</x:v>
      </x:c>
      <x:c r="V10" s="220" t="str">
        <x:v>AU-BEA-POSTER</x:v>
      </x:c>
      <x:c r="W10" s="220" t="str">
        <x:v>v1.0-demo</x:v>
      </x:c>
      <x:c r="X10" s="220" t="str">
        <x:v>Disease treatment and cellular repair wording is inconsistent with a cosmetic-only context.</x:v>
      </x:c>
      <x:c r="Y10" s="220" t="str">
        <x:v>https://www.tga.gov.au/resources/guidance/determining-if-your-product-cosmetic-or-therapeutic-good</x:v>
      </x:c>
      <x:c r="Z10" s="220" t="str">
        <x:v>Easy</x:v>
      </x:c>
      <x:c r="AA10" s="220" t="str">
        <x:v>fix,boundary,therapeutic-claim</x:v>
      </x:c>
    </x:row>
    <x:row r="11" ht="72" customHeight="1">
      <x:c r="A11" s="220" t="str">
        <x:v>AU-007</x:v>
      </x:c>
      <x:c r="B11" s="220" t="str">
        <x:v>保证治愈与绝对功效</x:v>
      </x:c>
      <x:c r="C11" s="220" t="str">
        <x:v>images/AU-007.png</x:v>
      </x:c>
      <x:c r="D11" s="220" t="str">
        <x:v>Australia</x:v>
      </x:c>
      <x:c r="E11" s="220" t="str">
        <x:v>Beauty</x:v>
      </x:c>
      <x:c r="F11" s="220" t="str">
        <x:v>Skin treatment</x:v>
      </x:c>
      <x:c r="G11" s="220" t="str">
        <x:v>AUST L Listed Medicine</x:v>
      </x:c>
      <x:c r="H11" s="220" t="str">
        <x:v>Instagram</x:v>
      </x:c>
      <x:c r="I11" s="220" t="str">
        <x:v>Poster image</x:v>
      </x:c>
      <x:c r="J11" s="220" t="str">
        <x:v>Canva generated</x:v>
      </x:c>
      <x:c r="K11" s="221" t="b">
        <x:v>1</x:v>
      </x:c>
      <x:c r="L11" s="220" t="str">
        <x:v>ARTG context supplied</x:v>
      </x:c>
      <x:c r="M11" s="220" t="str">
        <x:v>GUARANTEED CURE | Works every time | Zero risk. No side effects. | AUST L 456789</x:v>
      </x:c>
      <x:c r="N11" s="220" t="str">
        <x:v>Fix before running</x:v>
      </x:c>
      <x:c r="O11" s="220" t="str">
        <x:v>Poster render completed</x:v>
      </x:c>
      <x:c r="P11" s="220" t="str">
        <x:v>Absolute or prohibited representation</x:v>
      </x:c>
      <x:c r="Q11" s="220" t="str">
        <x:v>Guaranteed cure; Works every time; Zero risk; No side effects</x:v>
      </x:c>
      <x:c r="R11" s="220" t="str"/>
      <x:c r="S11" s="220" t="str">
        <x:v>Remove guarantee and safety absolutes, then re-check</x:v>
      </x:c>
      <x:c r="T11" s="220" t="str">
        <x:v>Australia law · Beauty · AUST L · Poster text</x:v>
      </x:c>
      <x:c r="U11" s="220" t="str">
        <x:v>Platform policy · Non-text visual claims · Landing page</x:v>
      </x:c>
      <x:c r="V11" s="220" t="str">
        <x:v>AU-BEA-POSTER</x:v>
      </x:c>
      <x:c r="W11" s="220" t="str">
        <x:v>v1.0-demo</x:v>
      </x:c>
      <x:c r="X11" s="220" t="str">
        <x:v>The poster represents the product as guaranteed, universally effective and without risk.</x:v>
      </x:c>
      <x:c r="Y11" s="220" t="str">
        <x:v>https://www.tga.gov.au/products/regulations-all-products/advertising/applying-advertising-code/general-requirements-advertising-therapeutic-goods-public</x:v>
      </x:c>
      <x:c r="Z11" s="220" t="str">
        <x:v>Easy</x:v>
      </x:c>
      <x:c r="AA11" s="220" t="str">
        <x:v>fix,guarantee,safety-absolute</x:v>
      </x:c>
    </x:row>
    <x:row r="12" ht="72" customHeight="1">
      <x:c r="A12" s="220" t="str">
        <x:v>AU-008</x:v>
      </x:c>
      <x:c r="B12" s="220" t="str">
        <x:v>成分与质地描述，正常放行</x:v>
      </x:c>
      <x:c r="C12" s="220" t="str">
        <x:v>images/AU-008.png</x:v>
      </x:c>
      <x:c r="D12" s="220" t="str">
        <x:v>Australia</x:v>
      </x:c>
      <x:c r="E12" s="220" t="str">
        <x:v>Beauty</x:v>
      </x:c>
      <x:c r="F12" s="220" t="str">
        <x:v>Face moisturiser</x:v>
      </x:c>
      <x:c r="G12" s="220" t="str">
        <x:v>Cosmetic</x:v>
      </x:c>
      <x:c r="H12" s="220" t="str">
        <x:v>Instagram</x:v>
      </x:c>
      <x:c r="I12" s="220" t="str">
        <x:v>Poster image</x:v>
      </x:c>
      <x:c r="J12" s="220" t="str">
        <x:v>Canva generated</x:v>
      </x:c>
      <x:c r="K12" s="221" t="b">
        <x:v>1</x:v>
      </x:c>
      <x:c r="L12" s="220" t="str">
        <x:v>Not required</x:v>
      </x:c>
      <x:c r="M12" s="220" t="str">
        <x:v>LIGHTWEIGHT EVERYDAY MOISTURISER | With niacinamide and vitamin E | Silky texture. Fresh finish. | NOVA SKIN</x:v>
      </x:c>
      <x:c r="N12" s="220" t="str">
        <x:v>Ready to run</x:v>
      </x:c>
      <x:c r="O12" s="220" t="str">
        <x:v>Poster render completed</x:v>
      </x:c>
      <x:c r="P12" s="220" t="str">
        <x:v>Checked and fine</x:v>
      </x:c>
      <x:c r="Q12" s="220" t="str"/>
      <x:c r="R12" s="220" t="str"/>
      <x:c r="S12" s="220" t="str">
        <x:v>Allow download, publish or continue</x:v>
      </x:c>
      <x:c r="T12" s="220" t="str">
        <x:v>Australia law · Beauty · Cosmetic · Poster text</x:v>
      </x:c>
      <x:c r="U12" s="220" t="str">
        <x:v>Platform policy · Non-text visual claims · Landing page</x:v>
      </x:c>
      <x:c r="V12" s="220" t="str">
        <x:v>AU-BEA-POSTER</x:v>
      </x:c>
      <x:c r="W12" s="220" t="str">
        <x:v>v1.0-demo</x:v>
      </x:c>
      <x:c r="X12" s="220" t="str">
        <x:v>The poster describes ingredients and sensory attributes without a therapeutic outcome claim.</x:v>
      </x:c>
      <x:c r="Y12" s="220" t="str">
        <x:v>https://www.tga.gov.au/resources/guidance/determining-if-your-product-cosmetic-or-therapeutic-good</x:v>
      </x:c>
      <x:c r="Z12" s="220" t="str">
        <x:v>Easy</x:v>
      </x:c>
      <x:c r="AA12" s="220" t="str">
        <x:v>ready,ingredient-claim,cosmetic</x:v>
      </x:c>
    </x:row>
    <x:row r="13" ht="72" customHeight="1">
      <x:c r="A13" s="220" t="str">
        <x:v>AU-009</x:v>
      </x:c>
      <x:c r="B13" s="220" t="str">
        <x:v>国家不在当前知识包覆盖范围</x:v>
      </x:c>
      <x:c r="C13" s="220" t="str">
        <x:v>images/AU-009.png</x:v>
      </x:c>
      <x:c r="D13" s="220" t="str">
        <x:v>New Zealand</x:v>
      </x:c>
      <x:c r="E13" s="220" t="str">
        <x:v>Beauty</x:v>
      </x:c>
      <x:c r="F13" s="220" t="str">
        <x:v>Face cream</x:v>
      </x:c>
      <x:c r="G13" s="220" t="str">
        <x:v>Cosmetic</x:v>
      </x:c>
      <x:c r="H13" s="220" t="str">
        <x:v>Instagram</x:v>
      </x:c>
      <x:c r="I13" s="220" t="str">
        <x:v>Poster image</x:v>
      </x:c>
      <x:c r="J13" s="220" t="str">
        <x:v>Canva generated</x:v>
      </x:c>
      <x:c r="K13" s="221" t="b">
        <x:v>1</x:v>
      </x:c>
      <x:c r="L13" s="220" t="str">
        <x:v>Not provided</x:v>
      </x:c>
      <x:c r="M13" s="220" t="str">
        <x:v>SMOOTHER LOOKING SKIN | A daily botanical face cream | Made for every morning | KIWI BLOOM</x:v>
      </x:c>
      <x:c r="N13" s="220" t="str">
        <x:v>Outside scope</x:v>
      </x:c>
      <x:c r="O13" s="220" t="str">
        <x:v>Poster render completed</x:v>
      </x:c>
      <x:c r="P13" s="220" t="str">
        <x:v>Coverage unavailable</x:v>
      </x:c>
      <x:c r="Q13" s="220" t="str"/>
      <x:c r="R13" s="220" t="str">
        <x:v>Supported New Zealand knowledge package</x:v>
      </x:c>
      <x:c r="S13" s="220" t="str">
        <x:v>Show coverage limits; do not return a green conclusion</x:v>
      </x:c>
      <x:c r="T13" s="220" t="str">
        <x:v>Poster text extracted</x:v>
      </x:c>
      <x:c r="U13" s="220" t="str">
        <x:v>New Zealand law · Platform policy · Landing page</x:v>
      </x:c>
      <x:c r="V13" s="220" t="str">
        <x:v>None</x:v>
      </x:c>
      <x:c r="W13" s="220" t="str">
        <x:v>None</x:v>
      </x:c>
      <x:c r="X13" s="220" t="str">
        <x:v>The MVP knowledge package is Australia-only, so the system must not invent New Zealand rules.</x:v>
      </x:c>
      <x:c r="Y13" s="220" t="str"/>
      <x:c r="Z13" s="220" t="str">
        <x:v>Easy</x:v>
      </x:c>
      <x:c r="AA13" s="220" t="str">
        <x:v>outside-scope,country,coverage</x:v>
      </x:c>
    </x:row>
    <x:row r="14" ht="72" customHeight="1">
      <x:c r="A14" s="220" t="str">
        <x:v>AU-010</x:v>
      </x:c>
      <x:c r="B14" s="220" t="str">
        <x:v>缺少国家 Context</x:v>
      </x:c>
      <x:c r="C14" s="220" t="str">
        <x:v>images/AU-010.png</x:v>
      </x:c>
      <x:c r="D14" s="220" t="str"/>
      <x:c r="E14" s="220" t="str">
        <x:v>Beauty</x:v>
      </x:c>
      <x:c r="F14" s="220" t="str">
        <x:v>Eye serum</x:v>
      </x:c>
      <x:c r="G14" s="220" t="str">
        <x:v>Cosmetic</x:v>
      </x:c>
      <x:c r="H14" s="220" t="str">
        <x:v>Instagram</x:v>
      </x:c>
      <x:c r="I14" s="220" t="str">
        <x:v>Poster image</x:v>
      </x:c>
      <x:c r="J14" s="220" t="str">
        <x:v>Canva generated</x:v>
      </x:c>
      <x:c r="K14" s="221" t="b">
        <x:v>1</x:v>
      </x:c>
      <x:c r="L14" s="220" t="str">
        <x:v>Not provided</x:v>
      </x:c>
      <x:c r="M14" s="220" t="str">
        <x:v>VISIBLE RESULTS IN 3 DAYS | A brighter look around the eyes | Dermatologist tested | LUMINA EYE SERUM</x:v>
      </x:c>
      <x:c r="N14" s="220" t="str">
        <x:v>Needs your input</x:v>
      </x:c>
      <x:c r="O14" s="220" t="str">
        <x:v>Poster render completed</x:v>
      </x:c>
      <x:c r="P14" s="220" t="str">
        <x:v>Context missing</x:v>
      </x:c>
      <x:c r="Q14" s="220" t="str">
        <x:v>Visible results in 3 days</x:v>
      </x:c>
      <x:c r="R14" s="220" t="str">
        <x:v>Country</x:v>
      </x:c>
      <x:c r="S14" s="220" t="str">
        <x:v>Ask user to confirm country before applying rules</x:v>
      </x:c>
      <x:c r="T14" s="220" t="str">
        <x:v>Poster text extracted · Beauty · Cosmetic</x:v>
      </x:c>
      <x:c r="U14" s="220" t="str">
        <x:v>Country-specific law · Platform policy · Landing page</x:v>
      </x:c>
      <x:c r="V14" s="220" t="str">
        <x:v>Pending routing</x:v>
      </x:c>
      <x:c r="W14" s="220" t="str">
        <x:v>None</x:v>
      </x:c>
      <x:c r="X14" s="220" t="str">
        <x:v>Country is required for rule routing; the system should ask rather than infer Australia.</x:v>
      </x:c>
      <x:c r="Y14" s="220" t="str"/>
      <x:c r="Z14" s="220" t="str">
        <x:v>Medium</x:v>
      </x:c>
      <x:c r="AA14" s="220" t="str">
        <x:v>needs-input,missing-context,country</x:v>
      </x:c>
    </x:row>
    <x:row r="15" ht="72" customHeight="1">
      <x:c r="A15" s="220" t="str">
        <x:v>AU-011</x:v>
      </x:c>
      <x:c r="B15" s="220" t="str">
        <x:v>上传图片且 OCR 低置信</x:v>
      </x:c>
      <x:c r="C15" s="220" t="str">
        <x:v>images/AU-011.png</x:v>
      </x:c>
      <x:c r="D15" s="220" t="str">
        <x:v>Australia</x:v>
      </x:c>
      <x:c r="E15" s="220" t="str">
        <x:v>Beauty</x:v>
      </x:c>
      <x:c r="F15" s="220" t="str">
        <x:v>Anti-ageing cream</x:v>
      </x:c>
      <x:c r="G15" s="220" t="str">
        <x:v>Cosmetic</x:v>
      </x:c>
      <x:c r="H15" s="220" t="str">
        <x:v>Instagram</x:v>
      </x:c>
      <x:c r="I15" s="220" t="str">
        <x:v>Poster image</x:v>
      </x:c>
      <x:c r="J15" s="220" t="str">
        <x:v>Uploaded raster</x:v>
      </x:c>
      <x:c r="K15" s="221" t="b">
        <x:v>0</x:v>
      </x:c>
      <x:c r="L15" s="220" t="str">
        <x:v>Not provided</x:v>
      </x:c>
      <x:c r="M15" s="220" t="str">
        <x:v>NEW FORMULA | daily face cream | Visibly reduces wrinkles by 80% in 3 days</x:v>
      </x:c>
      <x:c r="N15" s="220" t="str">
        <x:v>Needs your input</x:v>
      </x:c>
      <x:c r="O15" s="220" t="str">
        <x:v>Image upload completed</x:v>
      </x:c>
      <x:c r="P15" s="220" t="str">
        <x:v>OCR confidence too low</x:v>
      </x:c>
      <x:c r="Q15" s="220" t="str">
        <x:v>Possible claim in low-contrast footer</x:v>
      </x:c>
      <x:c r="R15" s="220" t="str">
        <x:v>Confirm or edit extracted poster text</x:v>
      </x:c>
      <x:c r="S15" s="220" t="str">
        <x:v>Show OCR uncertainty and request text confirmation</x:v>
      </x:c>
      <x:c r="T15" s="220" t="str">
        <x:v>High-confidence poster text only</x:v>
      </x:c>
      <x:c r="U15" s="220" t="str">
        <x:v>Low-confidence footer · Platform policy · Landing page</x:v>
      </x:c>
      <x:c r="V15" s="220" t="str">
        <x:v>AU-BEA-POSTER</x:v>
      </x:c>
      <x:c r="W15" s="220" t="str">
        <x:v>v1.0-demo</x:v>
      </x:c>
      <x:c r="X15" s="220" t="str">
        <x:v>The raster has no text layer and the claim is intentionally low contrast; the system must not silently ignore it.</x:v>
      </x:c>
      <x:c r="Y15" s="220" t="str"/>
      <x:c r="Z15" s="220" t="str">
        <x:v>Hard</x:v>
      </x:c>
      <x:c r="AA15" s="220" t="str">
        <x:v>needs-input,ocr,low-confidence</x:v>
      </x:c>
    </x:row>
    <x:row r="16" ht="72" customHeight="1">
      <x:c r="A16" s="222" t="str">
        <x:v>AU-012</x:v>
      </x:c>
      <x:c r="B16" s="222" t="str">
        <x:v>强制声明存在但不可读</x:v>
      </x:c>
      <x:c r="C16" s="222" t="str">
        <x:v>images/AU-012.png</x:v>
      </x:c>
      <x:c r="D16" s="222" t="str">
        <x:v>Australia</x:v>
      </x:c>
      <x:c r="E16" s="222" t="str">
        <x:v>Beauty</x:v>
      </x:c>
      <x:c r="F16" s="222" t="str">
        <x:v>Beauty supplement</x:v>
      </x:c>
      <x:c r="G16" s="222" t="str">
        <x:v>AUST L Listed Medicine</x:v>
      </x:c>
      <x:c r="H16" s="222" t="str">
        <x:v>Instagram</x:v>
      </x:c>
      <x:c r="I16" s="222" t="str">
        <x:v>Poster image</x:v>
      </x:c>
      <x:c r="J16" s="222" t="str">
        <x:v>Canva generated</x:v>
      </x:c>
      <x:c r="K16" s="223" t="b">
        <x:v>1</x:v>
      </x:c>
      <x:c r="L16" s="222" t="str">
        <x:v>ARTG indication supplied</x:v>
      </x:c>
      <x:c r="M16" s="222" t="str">
        <x:v>SUPPORTS HEALTHY SKIN | Daily beauty support | AUST L 567890 | Always read the label and follow the directions for use</x:v>
      </x:c>
      <x:c r="N16" s="222" t="str">
        <x:v>Fix before running</x:v>
      </x:c>
      <x:c r="O16" s="222" t="str">
        <x:v>Poster render completed</x:v>
      </x:c>
      <x:c r="P16" s="222" t="str">
        <x:v>Mandatory statement not prominent</x:v>
      </x:c>
      <x:c r="Q16" s="222" t="str">
        <x:v>Always read the label and follow the directions for use</x:v>
      </x:c>
      <x:c r="R16" s="222" t="str"/>
      <x:c r="S16" s="222" t="str">
        <x:v>Increase disclosure size and contrast, then re-check</x:v>
      </x:c>
      <x:c r="T16" s="222" t="str">
        <x:v>Australia law · Beauty · AUST L · Poster text</x:v>
      </x:c>
      <x:c r="U16" s="222" t="str">
        <x:v>Platform policy · Non-text visual claims · Landing page</x:v>
      </x:c>
      <x:c r="V16" s="222" t="str">
        <x:v>AU-BEA-POSTER</x:v>
      </x:c>
      <x:c r="W16" s="222" t="str">
        <x:v>v1.0-demo</x:v>
      </x:c>
      <x:c r="X16" s="222" t="str">
        <x:v>The mandatory statement is technically present but intentionally too small and faint to be prominent.</x:v>
      </x:c>
      <x:c r="Y16" s="222" t="str">
        <x:v>https://www.tga.gov.au/products/regulations-all-products/advertising/applying-advertising-code/mandatory-statements-and-other-information-required-advertising</x:v>
      </x:c>
      <x:c r="Z16" s="222" t="str">
        <x:v>Hard</x:v>
      </x:c>
      <x:c r="AA16" s="222" t="str">
        <x:v>fix,legibility,mandatory-disclosure</x:v>
      </x:c>
    </x:row>
  </x:sheetData>
  <x:mergeCells>
    <x:mergeCell ref="A1:AA1"/>
    <x:mergeCell ref="A2:AA2"/>
  </x:mergeCells>
  <x:conditionalFormatting sqref="N5:N16">
    <x:cfRule type="containsText" dxfId="0" priority="1" operator="containsText" text="Ready to run"/>
    <x:cfRule type="containsText" dxfId="1" priority="2" operator="containsText" text="Fix before running"/>
    <x:cfRule type="containsText" dxfId="2" priority="3" operator="containsText" text="Needs your input"/>
    <x:cfRule type="containsText" dxfId="3" priority="4" operator="containsText" text="Outside scope"/>
  </x:conditionalFormatting>
  <x:pageMargins left="0.7" right="0.7" top="0.75" bottom="0.75" header="0.3" footer="0.3"/>
  <x:tableParts count="1">
    <x:tablePart xmlns:r="http://schemas.openxmlformats.org/officeDocument/2006/relationships" r:id="R7c554e75c20341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1" hidden="0" customWidth="1"/>
    <x:col min="4" max="4" width="12" hidden="0" customWidth="1"/>
    <x:col min="5" max="5" width="28" hidden="0" customWidth="1"/>
    <x:col min="6" max="6" width="28" hidden="0" customWidth="1"/>
    <x:col min="7" max="7" width="12" hidden="0" customWidth="1"/>
    <x:col min="8" max="8" width="42" hidden="0" customWidth="1"/>
    <x:col min="9" max="9" width="42" hidden="0" customWidth="1"/>
    <x:col min="10" max="10" width="12" hidden="0" customWidth="1"/>
    <x:col min="11" max="11" width="50" hidden="0" customWidth="1"/>
    <x:col min="12" max="12" width="14" hidden="0" customWidth="1"/>
    <x:col min="13" max="13" width="14" hidden="0" customWidth="1"/>
    <x:col min="14" max="14" width="30" hidden="0" customWidth="1"/>
    <x:col min="15" max="15" width="14" hidden="0" customWidth="1"/>
  </x:cols>
  <x:sheetData>
    <x:row r="1" ht="34" customHeight="1">
      <x:c r="A1" s="145" t="str">
        <x:v>模型评测结果</x:v>
      </x:c>
      <x:c r="B1" s="145"/>
      <x:c r="C1" s="145"/>
      <x:c r="D1" s="145"/>
      <x:c r="E1" s="145"/>
      <x:c r="F1" s="145"/>
      <x:c r="G1" s="145"/>
      <x:c r="H1" s="145"/>
      <x:c r="I1" s="145"/>
      <x:c r="J1" s="145"/>
      <x:c r="K1" s="145"/>
      <x:c r="L1" s="145"/>
      <x:c r="M1" s="145"/>
      <x:c r="N1" s="145"/>
      <x:c r="O1" s="145"/>
    </x:row>
    <x:row r="2" ht="27" customHeight="1">
      <x:c r="A2" s="146" t="str">
        <x:v>黄色列填写模型实际输出；status、issue、next action 与 OCR 关键文本各占 25%。</x:v>
      </x:c>
      <x:c r="B2" s="146"/>
      <x:c r="C2" s="146"/>
      <x:c r="D2" s="146"/>
      <x:c r="E2" s="146"/>
      <x:c r="F2" s="146"/>
      <x:c r="G2" s="146"/>
      <x:c r="H2" s="146"/>
      <x:c r="I2" s="146"/>
      <x:c r="J2" s="146"/>
      <x:c r="K2" s="146"/>
      <x:c r="L2" s="146"/>
      <x:c r="M2" s="146"/>
      <x:c r="N2" s="146"/>
      <x:c r="O2" s="146"/>
    </x:row>
    <x:row r="3">
      <x:c r="A3" s="147"/>
      <x:c r="B3" s="147"/>
      <x:c r="C3" s="147"/>
      <x:c r="D3" s="147"/>
      <x:c r="E3" s="147"/>
      <x:c r="F3" s="147"/>
      <x:c r="G3" s="147"/>
      <x:c r="H3" s="147"/>
      <x:c r="I3" s="147"/>
      <x:c r="J3" s="147"/>
      <x:c r="K3" s="147"/>
      <x:c r="L3" s="147"/>
      <x:c r="M3" s="147"/>
      <x:c r="N3" s="147"/>
      <x:c r="O3" s="147"/>
    </x:row>
    <x:row r="4">
      <x:c r="A4" s="224" t="str">
        <x:v>test_id</x:v>
      </x:c>
      <x:c r="B4" s="224" t="str">
        <x:v>expected_status</x:v>
      </x:c>
      <x:c r="C4" s="224" t="str">
        <x:v>actual_status</x:v>
      </x:c>
      <x:c r="D4" s="224" t="str">
        <x:v>status_score</x:v>
      </x:c>
      <x:c r="E4" s="224" t="str">
        <x:v>expected_issue_type</x:v>
      </x:c>
      <x:c r="F4" s="224" t="str">
        <x:v>actual_issue_type</x:v>
      </x:c>
      <x:c r="G4" s="224" t="str">
        <x:v>issue_score</x:v>
      </x:c>
      <x:c r="H4" s="224" t="str">
        <x:v>expected_next_action</x:v>
      </x:c>
      <x:c r="I4" s="224" t="str">
        <x:v>actual_next_action</x:v>
      </x:c>
      <x:c r="J4" s="224" t="str">
        <x:v>action_score</x:v>
      </x:c>
      <x:c r="K4" s="224" t="str">
        <x:v>actual_extracted_text</x:v>
      </x:c>
      <x:c r="L4" s="224" t="str">
        <x:v>ocr_key_score</x:v>
      </x:c>
      <x:c r="M4" s="224" t="str">
        <x:v>latency_ms</x:v>
      </x:c>
      <x:c r="N4" s="224" t="str">
        <x:v>error_notes</x:v>
      </x:c>
      <x:c r="O4" s="224" t="str">
        <x:v>overall_pass</x:v>
      </x:c>
    </x:row>
    <x:row r="5" ht="58" customHeight="1">
      <x:c r="A5" s="225" t="str">
        <x:v>AU-001</x:v>
      </x:c>
      <x:c r="B5" s="225" t="str">
        <x:f>'测试用例'!N5</x:f>
        <x:v>Ready to run</x:v>
      </x:c>
      <x:c r="C5" s="226"/>
      <x:c r="D5" s="227" t="str">
        <x:f>IF(C5="","",--(C5=B5))</x:f>
      </x:c>
      <x:c r="E5" s="225" t="str">
        <x:f>'测试用例'!P5</x:f>
        <x:v>Checked and fine</x:v>
      </x:c>
      <x:c r="F5" s="226"/>
      <x:c r="G5" s="227" t="str">
        <x:f>IF(F5="","",--(F5=E5))</x:f>
      </x:c>
      <x:c r="H5" s="225" t="str">
        <x:f>'测试用例'!S5</x:f>
        <x:v>Allow download, publish or continue</x:v>
      </x:c>
      <x:c r="I5" s="226"/>
      <x:c r="J5" s="227" t="str">
        <x:f>IF(I5="","",--(I5=H5))</x:f>
      </x:c>
      <x:c r="K5" s="226"/>
      <x:c r="L5" s="228"/>
      <x:c r="M5" s="226"/>
      <x:c r="N5" s="226"/>
      <x:c r="O5" s="227" t="str">
        <x:f>IF(COUNT(D5,G5,J5,L5)&lt;4,"",--(SUM(D5,G5,J5,L5)=4))</x:f>
      </x:c>
    </x:row>
    <x:row r="6" ht="58" customHeight="1">
      <x:c r="A6" s="225" t="str">
        <x:v>AU-002</x:v>
      </x:c>
      <x:c r="B6" s="225" t="str">
        <x:f>'测试用例'!N6</x:f>
        <x:v>Fix before running</x:v>
      </x:c>
      <x:c r="C6" s="226"/>
      <x:c r="D6" s="227" t="str">
        <x:f>IF(C6="","",--(C6=B6))</x:f>
      </x:c>
      <x:c r="E6" s="225" t="str">
        <x:f>'测试用例'!P6</x:f>
        <x:v>Missing mandatory statement</x:v>
      </x:c>
      <x:c r="F6" s="226"/>
      <x:c r="G6" s="227" t="str">
        <x:f>IF(F6="","",--(F6=E6))</x:f>
      </x:c>
      <x:c r="H6" s="225" t="str">
        <x:f>'测试用例'!S6</x:f>
        <x:v>Add the required label and directions statement, then re-check</x:v>
      </x:c>
      <x:c r="I6" s="226"/>
      <x:c r="J6" s="227" t="str">
        <x:f>IF(I6="","",--(I6=H6))</x:f>
      </x:c>
      <x:c r="K6" s="226"/>
      <x:c r="L6" s="228"/>
      <x:c r="M6" s="226"/>
      <x:c r="N6" s="226"/>
      <x:c r="O6" s="227" t="str">
        <x:f>IF(COUNT(D6,G6,J6,L6)&lt;4,"",--(SUM(D6,G6,J6,L6)=4))</x:f>
      </x:c>
    </x:row>
    <x:row r="7" ht="58" customHeight="1">
      <x:c r="A7" s="225" t="str">
        <x:v>AU-003</x:v>
      </x:c>
      <x:c r="B7" s="225" t="str">
        <x:f>'测试用例'!N7</x:f>
        <x:v>Ready to run</x:v>
      </x:c>
      <x:c r="C7" s="226"/>
      <x:c r="D7" s="227" t="str">
        <x:f>IF(C7="","",--(C7=B7))</x:f>
      </x:c>
      <x:c r="E7" s="225" t="str">
        <x:f>'测试用例'!P7</x:f>
        <x:v>Checked and fine</x:v>
      </x:c>
      <x:c r="F7" s="226"/>
      <x:c r="G7" s="227" t="str">
        <x:f>IF(F7="","",--(F7=E7))</x:f>
      </x:c>
      <x:c r="H7" s="225" t="str">
        <x:f>'测试用例'!S7</x:f>
        <x:v>Allow download, publish or continue</x:v>
      </x:c>
      <x:c r="I7" s="226"/>
      <x:c r="J7" s="227" t="str">
        <x:f>IF(I7="","",--(I7=H7))</x:f>
      </x:c>
      <x:c r="K7" s="226"/>
      <x:c r="L7" s="228"/>
      <x:c r="M7" s="226"/>
      <x:c r="N7" s="226"/>
      <x:c r="O7" s="227" t="str">
        <x:f>IF(COUNT(D7,G7,J7,L7)&lt;4,"",--(SUM(D7,G7,J7,L7)=4))</x:f>
      </x:c>
    </x:row>
    <x:row r="8" ht="58" customHeight="1">
      <x:c r="A8" s="225" t="str">
        <x:v>AU-004</x:v>
      </x:c>
      <x:c r="B8" s="225" t="str">
        <x:f>'测试用例'!N8</x:f>
        <x:v>Needs your input</x:v>
      </x:c>
      <x:c r="C8" s="226"/>
      <x:c r="D8" s="227" t="str">
        <x:f>IF(C8="","",--(C8=B8))</x:f>
      </x:c>
      <x:c r="E8" s="225" t="str">
        <x:f>'测试用例'!P8</x:f>
        <x:v>Product classification required</x:v>
      </x:c>
      <x:c r="F8" s="226"/>
      <x:c r="G8" s="227" t="str">
        <x:f>IF(F8="","",--(F8=E8))</x:f>
      </x:c>
      <x:c r="H8" s="225" t="str">
        <x:f>'测试用例'!S8</x:f>
        <x:v>Ask for product regulation and supporting evidence</x:v>
      </x:c>
      <x:c r="I8" s="226"/>
      <x:c r="J8" s="227" t="str">
        <x:f>IF(I8="","",--(I8=H8))</x:f>
      </x:c>
      <x:c r="K8" s="226"/>
      <x:c r="L8" s="228"/>
      <x:c r="M8" s="226"/>
      <x:c r="N8" s="226"/>
      <x:c r="O8" s="227" t="str">
        <x:f>IF(COUNT(D8,G8,J8,L8)&lt;4,"",--(SUM(D8,G8,J8,L8)=4))</x:f>
      </x:c>
    </x:row>
    <x:row r="9" ht="58" customHeight="1">
      <x:c r="A9" s="225" t="str">
        <x:v>AU-005</x:v>
      </x:c>
      <x:c r="B9" s="225" t="str">
        <x:f>'测试用例'!N9</x:f>
        <x:v>Needs your input</x:v>
      </x:c>
      <x:c r="C9" s="226"/>
      <x:c r="D9" s="227" t="str">
        <x:f>IF(C9="","",--(C9=B9))</x:f>
      </x:c>
      <x:c r="E9" s="225" t="str">
        <x:f>'测试用例'!P9</x:f>
        <x:v>Supporting evidence required</x:v>
      </x:c>
      <x:c r="F9" s="226"/>
      <x:c r="G9" s="227" t="str">
        <x:f>IF(F9="","",--(F9=E9))</x:f>
      </x:c>
      <x:c r="H9" s="225" t="str">
        <x:f>'测试用例'!S9</x:f>
        <x:v>Upload or link supporting evidence, or remove the claim</x:v>
      </x:c>
      <x:c r="I9" s="226"/>
      <x:c r="J9" s="227" t="str">
        <x:f>IF(I9="","",--(I9=H9))</x:f>
      </x:c>
      <x:c r="K9" s="226"/>
      <x:c r="L9" s="228"/>
      <x:c r="M9" s="226"/>
      <x:c r="N9" s="226"/>
      <x:c r="O9" s="227" t="str">
        <x:f>IF(COUNT(D9,G9,J9,L9)&lt;4,"",--(SUM(D9,G9,J9,L9)=4))</x:f>
      </x:c>
    </x:row>
    <x:row r="10" ht="58" customHeight="1">
      <x:c r="A10" s="225" t="str">
        <x:v>AU-006</x:v>
      </x:c>
      <x:c r="B10" s="225" t="str">
        <x:f>'测试用例'!N10</x:f>
        <x:v>Fix before running</x:v>
      </x:c>
      <x:c r="C10" s="226"/>
      <x:c r="D10" s="227" t="str">
        <x:f>IF(C10="","",--(C10=B10))</x:f>
      </x:c>
      <x:c r="E10" s="225" t="str">
        <x:f>'测试用例'!P10</x:f>
        <x:v>Regulatory boundary trigger</x:v>
      </x:c>
      <x:c r="F10" s="226"/>
      <x:c r="G10" s="227" t="str">
        <x:f>IF(F10="","",--(F10=E10))</x:f>
      </x:c>
      <x:c r="H10" s="225" t="str">
        <x:f>'测试用例'!S10</x:f>
        <x:v>Remove therapeutic wording or reclassify and re-check</x:v>
      </x:c>
      <x:c r="I10" s="226"/>
      <x:c r="J10" s="227" t="str">
        <x:f>IF(I10="","",--(I10=H10))</x:f>
      </x:c>
      <x:c r="K10" s="226"/>
      <x:c r="L10" s="228"/>
      <x:c r="M10" s="226"/>
      <x:c r="N10" s="226"/>
      <x:c r="O10" s="227" t="str">
        <x:f>IF(COUNT(D10,G10,J10,L10)&lt;4,"",--(SUM(D10,G10,J10,L10)=4))</x:f>
      </x:c>
    </x:row>
    <x:row r="11" ht="58" customHeight="1">
      <x:c r="A11" s="225" t="str">
        <x:v>AU-007</x:v>
      </x:c>
      <x:c r="B11" s="225" t="str">
        <x:f>'测试用例'!N11</x:f>
        <x:v>Fix before running</x:v>
      </x:c>
      <x:c r="C11" s="226"/>
      <x:c r="D11" s="227" t="str">
        <x:f>IF(C11="","",--(C11=B11))</x:f>
      </x:c>
      <x:c r="E11" s="225" t="str">
        <x:f>'测试用例'!P11</x:f>
        <x:v>Absolute or prohibited representation</x:v>
      </x:c>
      <x:c r="F11" s="226"/>
      <x:c r="G11" s="227" t="str">
        <x:f>IF(F11="","",--(F11=E11))</x:f>
      </x:c>
      <x:c r="H11" s="225" t="str">
        <x:f>'测试用例'!S11</x:f>
        <x:v>Remove guarantee and safety absolutes, then re-check</x:v>
      </x:c>
      <x:c r="I11" s="226"/>
      <x:c r="J11" s="227" t="str">
        <x:f>IF(I11="","",--(I11=H11))</x:f>
      </x:c>
      <x:c r="K11" s="226"/>
      <x:c r="L11" s="228"/>
      <x:c r="M11" s="226"/>
      <x:c r="N11" s="226"/>
      <x:c r="O11" s="227" t="str">
        <x:f>IF(COUNT(D11,G11,J11,L11)&lt;4,"",--(SUM(D11,G11,J11,L11)=4))</x:f>
      </x:c>
    </x:row>
    <x:row r="12" ht="58" customHeight="1">
      <x:c r="A12" s="225" t="str">
        <x:v>AU-008</x:v>
      </x:c>
      <x:c r="B12" s="225" t="str">
        <x:f>'测试用例'!N12</x:f>
        <x:v>Ready to run</x:v>
      </x:c>
      <x:c r="C12" s="226"/>
      <x:c r="D12" s="227" t="str">
        <x:f>IF(C12="","",--(C12=B12))</x:f>
      </x:c>
      <x:c r="E12" s="225" t="str">
        <x:f>'测试用例'!P12</x:f>
        <x:v>Checked and fine</x:v>
      </x:c>
      <x:c r="F12" s="226"/>
      <x:c r="G12" s="227" t="str">
        <x:f>IF(F12="","",--(F12=E12))</x:f>
      </x:c>
      <x:c r="H12" s="225" t="str">
        <x:f>'测试用例'!S12</x:f>
        <x:v>Allow download, publish or continue</x:v>
      </x:c>
      <x:c r="I12" s="226"/>
      <x:c r="J12" s="227" t="str">
        <x:f>IF(I12="","",--(I12=H12))</x:f>
      </x:c>
      <x:c r="K12" s="226"/>
      <x:c r="L12" s="228"/>
      <x:c r="M12" s="226"/>
      <x:c r="N12" s="226"/>
      <x:c r="O12" s="227" t="str">
        <x:f>IF(COUNT(D12,G12,J12,L12)&lt;4,"",--(SUM(D12,G12,J12,L12)=4))</x:f>
      </x:c>
    </x:row>
    <x:row r="13" ht="58" customHeight="1">
      <x:c r="A13" s="225" t="str">
        <x:v>AU-009</x:v>
      </x:c>
      <x:c r="B13" s="225" t="str">
        <x:f>'测试用例'!N13</x:f>
        <x:v>Outside scope</x:v>
      </x:c>
      <x:c r="C13" s="226"/>
      <x:c r="D13" s="227" t="str">
        <x:f>IF(C13="","",--(C13=B13))</x:f>
      </x:c>
      <x:c r="E13" s="225" t="str">
        <x:f>'测试用例'!P13</x:f>
        <x:v>Coverage unavailable</x:v>
      </x:c>
      <x:c r="F13" s="226"/>
      <x:c r="G13" s="227" t="str">
        <x:f>IF(F13="","",--(F13=E13))</x:f>
      </x:c>
      <x:c r="H13" s="225" t="str">
        <x:f>'测试用例'!S13</x:f>
        <x:v>Show coverage limits; do not return a green conclusion</x:v>
      </x:c>
      <x:c r="I13" s="226"/>
      <x:c r="J13" s="227" t="str">
        <x:f>IF(I13="","",--(I13=H13))</x:f>
      </x:c>
      <x:c r="K13" s="226"/>
      <x:c r="L13" s="228"/>
      <x:c r="M13" s="226"/>
      <x:c r="N13" s="226"/>
      <x:c r="O13" s="227" t="str">
        <x:f>IF(COUNT(D13,G13,J13,L13)&lt;4,"",--(SUM(D13,G13,J13,L13)=4))</x:f>
      </x:c>
    </x:row>
    <x:row r="14" ht="58" customHeight="1">
      <x:c r="A14" s="225" t="str">
        <x:v>AU-010</x:v>
      </x:c>
      <x:c r="B14" s="225" t="str">
        <x:f>'测试用例'!N14</x:f>
        <x:v>Needs your input</x:v>
      </x:c>
      <x:c r="C14" s="226"/>
      <x:c r="D14" s="227" t="str">
        <x:f>IF(C14="","",--(C14=B14))</x:f>
      </x:c>
      <x:c r="E14" s="225" t="str">
        <x:f>'测试用例'!P14</x:f>
        <x:v>Context missing</x:v>
      </x:c>
      <x:c r="F14" s="226"/>
      <x:c r="G14" s="227" t="str">
        <x:f>IF(F14="","",--(F14=E14))</x:f>
      </x:c>
      <x:c r="H14" s="225" t="str">
        <x:f>'测试用例'!S14</x:f>
        <x:v>Ask user to confirm country before applying rules</x:v>
      </x:c>
      <x:c r="I14" s="226"/>
      <x:c r="J14" s="227" t="str">
        <x:f>IF(I14="","",--(I14=H14))</x:f>
      </x:c>
      <x:c r="K14" s="226"/>
      <x:c r="L14" s="228"/>
      <x:c r="M14" s="226"/>
      <x:c r="N14" s="226"/>
      <x:c r="O14" s="227" t="str">
        <x:f>IF(COUNT(D14,G14,J14,L14)&lt;4,"",--(SUM(D14,G14,J14,L14)=4))</x:f>
      </x:c>
    </x:row>
    <x:row r="15" ht="58" customHeight="1">
      <x:c r="A15" s="225" t="str">
        <x:v>AU-011</x:v>
      </x:c>
      <x:c r="B15" s="225" t="str">
        <x:f>'测试用例'!N15</x:f>
        <x:v>Needs your input</x:v>
      </x:c>
      <x:c r="C15" s="226"/>
      <x:c r="D15" s="227" t="str">
        <x:f>IF(C15="","",--(C15=B15))</x:f>
      </x:c>
      <x:c r="E15" s="225" t="str">
        <x:f>'测试用例'!P15</x:f>
        <x:v>OCR confidence too low</x:v>
      </x:c>
      <x:c r="F15" s="226"/>
      <x:c r="G15" s="227" t="str">
        <x:f>IF(F15="","",--(F15=E15))</x:f>
      </x:c>
      <x:c r="H15" s="225" t="str">
        <x:f>'测试用例'!S15</x:f>
        <x:v>Show OCR uncertainty and request text confirmation</x:v>
      </x:c>
      <x:c r="I15" s="226"/>
      <x:c r="J15" s="227" t="str">
        <x:f>IF(I15="","",--(I15=H15))</x:f>
      </x:c>
      <x:c r="K15" s="226"/>
      <x:c r="L15" s="228"/>
      <x:c r="M15" s="226"/>
      <x:c r="N15" s="226"/>
      <x:c r="O15" s="227" t="str">
        <x:f>IF(COUNT(D15,G15,J15,L15)&lt;4,"",--(SUM(D15,G15,J15,L15)=4))</x:f>
      </x:c>
    </x:row>
    <x:row r="16" ht="58" customHeight="1">
      <x:c r="A16" s="225" t="str">
        <x:v>AU-012</x:v>
      </x:c>
      <x:c r="B16" s="225" t="str">
        <x:f>'测试用例'!N16</x:f>
        <x:v>Fix before running</x:v>
      </x:c>
      <x:c r="C16" s="226"/>
      <x:c r="D16" s="227" t="str">
        <x:f>IF(C16="","",--(C16=B16))</x:f>
      </x:c>
      <x:c r="E16" s="225" t="str">
        <x:f>'测试用例'!P16</x:f>
        <x:v>Mandatory statement not prominent</x:v>
      </x:c>
      <x:c r="F16" s="226"/>
      <x:c r="G16" s="227" t="str">
        <x:f>IF(F16="","",--(F16=E16))</x:f>
      </x:c>
      <x:c r="H16" s="225" t="str">
        <x:f>'测试用例'!S16</x:f>
        <x:v>Increase disclosure size and contrast, then re-check</x:v>
      </x:c>
      <x:c r="I16" s="226"/>
      <x:c r="J16" s="227" t="str">
        <x:f>IF(I16="","",--(I16=H16))</x:f>
      </x:c>
      <x:c r="K16" s="226"/>
      <x:c r="L16" s="228"/>
      <x:c r="M16" s="226"/>
      <x:c r="N16" s="226"/>
      <x:c r="O16" s="227" t="str">
        <x:f>IF(COUNT(D16,G16,J16,L16)&lt;4,"",--(SUM(D16,G16,J16,L16)=4))</x:f>
      </x:c>
    </x:row>
  </x:sheetData>
  <x:mergeCells>
    <x:mergeCell ref="A1:O1"/>
    <x:mergeCell ref="A2:O2"/>
  </x:mergeCells>
  <x:conditionalFormatting sqref="O5:O16">
    <x:cfRule type="cellIs" dxfId="4" priority="1" operator="equal">
      <x:formula>1</x:formula>
    </x:cfRule>
    <x:cfRule type="cellIs" dxfId="5" priority="2" operator="equal">
      <x:formula>0</x:formula>
    </x:cfRule>
  </x:conditionalFormatting>
  <x:dataValidations count="2">
    <x:dataValidation type="list" sqref="C5:C16">
      <x:formula1>"Ready to run,Fix before running,Needs your input,Outside scope"</x:formula1>
    </x:dataValidation>
    <x:dataValidation type="list" sqref="L5:L16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17afd6ea3c49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22" hidden="0" customWidth="1"/>
    <x:col min="4" max="4" width="24" hidden="0" customWidth="1"/>
    <x:col min="5" max="5" width="60" hidden="0" customWidth="1"/>
    <x:col min="6" max="6" width="12" hidden="0" customWidth="1"/>
  </x:cols>
  <x:sheetData>
    <x:row r="1" ht="34" customHeight="1">
      <x:c r="A1" s="145" t="str">
        <x:v>测试海报索引</x:v>
      </x:c>
      <x:c r="B1" s="145"/>
      <x:c r="C1" s="145"/>
      <x:c r="D1" s="145"/>
      <x:c r="E1" s="145"/>
      <x:c r="F1" s="145"/>
    </x:row>
    <x:row r="2" ht="27" customHeight="1">
      <x:c r="A2" s="146" t="str">
        <x:v>原图位于 images/AU-xxx.png；poster_contact_sheet.png 提供 12 张海报的总览。</x:v>
      </x:c>
      <x:c r="B2" s="146"/>
      <x:c r="C2" s="146"/>
      <x:c r="D2" s="146"/>
      <x:c r="E2" s="146"/>
      <x:c r="F2" s="146"/>
    </x:row>
    <x:row r="3">
      <x:c r="A3" s="147"/>
      <x:c r="B3" s="147"/>
      <x:c r="C3" s="147"/>
      <x:c r="D3" s="147"/>
      <x:c r="E3" s="147"/>
      <x:c r="F3" s="147"/>
    </x:row>
    <x:row r="4">
      <x:c r="A4" s="229" t="str">
        <x:v>test_id</x:v>
      </x:c>
      <x:c r="B4" s="229" t="str">
        <x:v>title</x:v>
      </x:c>
      <x:c r="C4" s="229" t="str">
        <x:v>expected_status</x:v>
      </x:c>
      <x:c r="D4" s="229" t="str">
        <x:v>image_file</x:v>
      </x:c>
      <x:c r="E4" s="229" t="str">
        <x:v>poster_visible_text_gold</x:v>
      </x:c>
      <x:c r="F4" s="229" t="str">
        <x:v>difficulty</x:v>
      </x:c>
    </x:row>
    <x:row r="5" ht="52" customHeight="1">
      <x:c r="A5" s="230" t="str">
        <x:v>AU-001</x:v>
      </x:c>
      <x:c r="B5" s="230" t="str">
        <x:v>团队偏好表达，正常放行</x:v>
      </x:c>
      <x:c r="C5" s="230" t="str">
        <x:v>Ready to run</x:v>
      </x:c>
      <x:c r="D5" s="230" t="str">
        <x:v>images/AU-001.png</x:v>
      </x:c>
      <x:c r="E5" s="230" t="str">
        <x:v>OUR TEAM'S FAVOURITE FORMULA | With niacinamide and vitamin E | Gentle care for everyday use | LUMEA DAILY MOISTURISER</x:v>
      </x:c>
      <x:c r="F5" s="230" t="str">
        <x:v>Easy</x:v>
      </x:c>
    </x:row>
    <x:row r="6" ht="52" customHeight="1">
      <x:c r="A6" s="230" t="str">
        <x:v>AU-002</x:v>
      </x:c>
      <x:c r="B6" s="230" t="str">
        <x:v>AUST L 缺少强制声明</x:v>
      </x:c>
      <x:c r="C6" s="230" t="str">
        <x:v>Fix before running</x:v>
      </x:c>
      <x:c r="D6" s="230" t="str">
        <x:v>images/AU-002.png</x:v>
      </x:c>
      <x:c r="E6" s="230" t="str">
        <x:v>SUPPORTS IMMUNE HEALTH | Daily wellness support | AUST L 345678 | VITAGLOW IMMUNE SUPPORT</x:v>
      </x:c>
      <x:c r="F6" s="230" t="str">
        <x:v>Medium</x:v>
      </x:c>
    </x:row>
    <x:row r="7" ht="52" customHeight="1">
      <x:c r="A7" s="230" t="str">
        <x:v>AU-003</x:v>
      </x:c>
      <x:c r="B7" s="230" t="str">
        <x:v>AUST L 强制声明齐全</x:v>
      </x:c>
      <x:c r="C7" s="230" t="str">
        <x:v>Ready to run</x:v>
      </x:c>
      <x:c r="D7" s="230" t="str">
        <x:v>images/AU-003.png</x:v>
      </x:c>
      <x:c r="E7" s="230" t="str">
        <x:v>SUPPORTS IMMUNE HEALTH | Daily wellness support | AUST L 345678 | Always read the label and follow the directions for use</x:v>
      </x:c>
      <x:c r="F7" s="230" t="str">
        <x:v>Medium</x:v>
      </x:c>
    </x:row>
    <x:row r="8" ht="52" customHeight="1">
      <x:c r="A8" s="230" t="str">
        <x:v>AU-004</x:v>
      </x:c>
      <x:c r="B8" s="230" t="str">
        <x:v>监管身份不确定且含功效声称</x:v>
      </x:c>
      <x:c r="C8" s="230" t="str">
        <x:v>Needs your input</x:v>
      </x:c>
      <x:c r="D8" s="230" t="str">
        <x:v>images/AU-004.png</x:v>
      </x:c>
      <x:c r="E8" s="230" t="str">
        <x:v>REPAIRS DAMAGED SKIN IN 7 DAYS | Clinically proven formula | Visible renewal from within | DERMA RENEW SERUM</x:v>
      </x:c>
      <x:c r="F8" s="230" t="str">
        <x:v>Hard</x:v>
      </x:c>
    </x:row>
    <x:row r="9" ht="52" customHeight="1">
      <x:c r="A9" s="230" t="str">
        <x:v>AU-005</x:v>
      </x:c>
      <x:c r="B9" s="230" t="str">
        <x:v>临床数据声称但未提供证据</x:v>
      </x:c>
      <x:c r="C9" s="230" t="str">
        <x:v>Needs your input</x:v>
      </x:c>
      <x:c r="D9" s="230" t="str">
        <x:v>images/AU-005.png</x:v>
      </x:c>
      <x:c r="E9" s="230" t="str">
        <x:v>42% MORE HYDRATION | Clinically proven after one use | Powered by hyaluronic acid | AQUA BOOST SERUM</x:v>
      </x:c>
      <x:c r="F9" s="230" t="str">
        <x:v>Medium</x:v>
      </x:c>
    </x:row>
    <x:row r="10" ht="52" customHeight="1">
      <x:c r="A10" s="230" t="str">
        <x:v>AU-006</x:v>
      </x:c>
      <x:c r="B10" s="230" t="str">
        <x:v>化妆品出现治疗型声称</x:v>
      </x:c>
      <x:c r="C10" s="230" t="str">
        <x:v>Fix before running</x:v>
      </x:c>
      <x:c r="D10" s="230" t="str">
        <x:v>images/AU-006.png</x:v>
      </x:c>
      <x:c r="E10" s="230" t="str">
        <x:v>TREATS ECZEMA | Repairs damaged skin at the cellular level | Fast relief from inflammation | CALM SKIN LOTION</x:v>
      </x:c>
      <x:c r="F10" s="230" t="str">
        <x:v>Easy</x:v>
      </x:c>
    </x:row>
    <x:row r="11" ht="52" customHeight="1">
      <x:c r="A11" s="230" t="str">
        <x:v>AU-007</x:v>
      </x:c>
      <x:c r="B11" s="230" t="str">
        <x:v>保证治愈与绝对功效</x:v>
      </x:c>
      <x:c r="C11" s="230" t="str">
        <x:v>Fix before running</x:v>
      </x:c>
      <x:c r="D11" s="230" t="str">
        <x:v>images/AU-007.png</x:v>
      </x:c>
      <x:c r="E11" s="230" t="str">
        <x:v>GUARANTEED CURE | Works every time | Zero risk. No side effects. | AUST L 456789</x:v>
      </x:c>
      <x:c r="F11" s="230" t="str">
        <x:v>Easy</x:v>
      </x:c>
    </x:row>
    <x:row r="12" ht="52" customHeight="1">
      <x:c r="A12" s="230" t="str">
        <x:v>AU-008</x:v>
      </x:c>
      <x:c r="B12" s="230" t="str">
        <x:v>成分与质地描述，正常放行</x:v>
      </x:c>
      <x:c r="C12" s="230" t="str">
        <x:v>Ready to run</x:v>
      </x:c>
      <x:c r="D12" s="230" t="str">
        <x:v>images/AU-008.png</x:v>
      </x:c>
      <x:c r="E12" s="230" t="str">
        <x:v>LIGHTWEIGHT EVERYDAY MOISTURISER | With niacinamide and vitamin E | Silky texture. Fresh finish. | NOVA SKIN</x:v>
      </x:c>
      <x:c r="F12" s="230" t="str">
        <x:v>Easy</x:v>
      </x:c>
    </x:row>
    <x:row r="13" ht="52" customHeight="1">
      <x:c r="A13" s="230" t="str">
        <x:v>AU-009</x:v>
      </x:c>
      <x:c r="B13" s="230" t="str">
        <x:v>国家不在当前知识包覆盖范围</x:v>
      </x:c>
      <x:c r="C13" s="230" t="str">
        <x:v>Outside scope</x:v>
      </x:c>
      <x:c r="D13" s="230" t="str">
        <x:v>images/AU-009.png</x:v>
      </x:c>
      <x:c r="E13" s="230" t="str">
        <x:v>SMOOTHER LOOKING SKIN | A daily botanical face cream | Made for every morning | KIWI BLOOM</x:v>
      </x:c>
      <x:c r="F13" s="230" t="str">
        <x:v>Easy</x:v>
      </x:c>
    </x:row>
    <x:row r="14" ht="52" customHeight="1">
      <x:c r="A14" s="230" t="str">
        <x:v>AU-010</x:v>
      </x:c>
      <x:c r="B14" s="230" t="str">
        <x:v>缺少国家 Context</x:v>
      </x:c>
      <x:c r="C14" s="230" t="str">
        <x:v>Needs your input</x:v>
      </x:c>
      <x:c r="D14" s="230" t="str">
        <x:v>images/AU-010.png</x:v>
      </x:c>
      <x:c r="E14" s="230" t="str">
        <x:v>VISIBLE RESULTS IN 3 DAYS | A brighter look around the eyes | Dermatologist tested | LUMINA EYE SERUM</x:v>
      </x:c>
      <x:c r="F14" s="230" t="str">
        <x:v>Medium</x:v>
      </x:c>
    </x:row>
    <x:row r="15" ht="52" customHeight="1">
      <x:c r="A15" s="230" t="str">
        <x:v>AU-011</x:v>
      </x:c>
      <x:c r="B15" s="230" t="str">
        <x:v>上传图片且 OCR 低置信</x:v>
      </x:c>
      <x:c r="C15" s="230" t="str">
        <x:v>Needs your input</x:v>
      </x:c>
      <x:c r="D15" s="230" t="str">
        <x:v>images/AU-011.png</x:v>
      </x:c>
      <x:c r="E15" s="230" t="str">
        <x:v>NEW FORMULA | daily face cream | Visibly reduces wrinkles by 80% in 3 days</x:v>
      </x:c>
      <x:c r="F15" s="230" t="str">
        <x:v>Hard</x:v>
      </x:c>
    </x:row>
    <x:row r="16" ht="52" customHeight="1">
      <x:c r="A16" s="230" t="str">
        <x:v>AU-012</x:v>
      </x:c>
      <x:c r="B16" s="230" t="str">
        <x:v>强制声明存在但不可读</x:v>
      </x:c>
      <x:c r="C16" s="230" t="str">
        <x:v>Fix before running</x:v>
      </x:c>
      <x:c r="D16" s="230" t="str">
        <x:v>images/AU-012.png</x:v>
      </x:c>
      <x:c r="E16" s="230" t="str">
        <x:v>SUPPORTS HEALTHY SKIN | Daily beauty support | AUST L 567890 | Always read the label and follow the directions for use</x:v>
      </x:c>
      <x:c r="F16" s="230" t="str">
        <x:v>Hard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73c4d408d944c48"/>
  </x:tableParts>
</x:worksheet>
</file>